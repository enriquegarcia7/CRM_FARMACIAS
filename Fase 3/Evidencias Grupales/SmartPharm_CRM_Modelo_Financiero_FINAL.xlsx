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uestos" sheetId="1" r:id="rId4"/>
    <sheet state="visible" name="Costos Operacionales" sheetId="2" r:id="rId5"/>
    <sheet state="visible" name="Flujo de Caja" sheetId="3" r:id="rId6"/>
    <sheet state="visible" name="VAN y TIR" sheetId="4" r:id="rId7"/>
    <sheet state="visible" name="Sensibilidad" sheetId="5" r:id="rId8"/>
    <sheet state="visible" name="Punto Equilibrio" sheetId="6" r:id="rId9"/>
    <sheet state="visible" name="Métricas SaaS" sheetId="7" r:id="rId10"/>
  </sheets>
  <definedNames/>
  <calcPr/>
  <extLst>
    <ext uri="GoogleSheetsCustomDataVersion2">
      <go:sheetsCustomData xmlns:go="http://customooxmlschemas.google.com/" r:id="rId11" roundtripDataChecksum="7Fgnd3JrKHpxSXLuLIfMbDsqYqAb+69ZvKlvmYBn2Jg="/>
    </ext>
  </extLst>
</workbook>
</file>

<file path=xl/sharedStrings.xml><?xml version="1.0" encoding="utf-8"?>
<sst xmlns="http://schemas.openxmlformats.org/spreadsheetml/2006/main" count="169" uniqueCount="145">
  <si>
    <t>SUPUESTOS DEL MODELO FINANCIERO - SMARTPHARM CRM</t>
  </si>
  <si>
    <t>Valores en AZUL son inputs modificables | Valores en NEGRO son calculados</t>
  </si>
  <si>
    <t>PARÁMETROS FINANCIEROS</t>
  </si>
  <si>
    <t>Parámetro</t>
  </si>
  <si>
    <t>Valor</t>
  </si>
  <si>
    <t>Unidad</t>
  </si>
  <si>
    <t>Justificación</t>
  </si>
  <si>
    <t>Tasa libre de riesgo</t>
  </si>
  <si>
    <t>%</t>
  </si>
  <si>
    <t>Bonos BCCh 10 años (2025)</t>
  </si>
  <si>
    <t>Prima riesgo mercado</t>
  </si>
  <si>
    <t>Prima moderada mercado chileno</t>
  </si>
  <si>
    <t>Prima riesgo startup</t>
  </si>
  <si>
    <t>MVP validado, datos reales, equipo técnico</t>
  </si>
  <si>
    <t>TREMA (calculada)</t>
  </si>
  <si>
    <t>Suma componentes CAPM ajustado</t>
  </si>
  <si>
    <t>Horizonte evaluación</t>
  </si>
  <si>
    <t>años</t>
  </si>
  <si>
    <t>Estándar SaaS B2B</t>
  </si>
  <si>
    <t>Inversión inicial efectivo</t>
  </si>
  <si>
    <t>CLP</t>
  </si>
  <si>
    <t>Infraestructura ($500k) + Capital trabajo 6 meses ($9M)</t>
  </si>
  <si>
    <t>PARÁMETROS COMERCIALES</t>
  </si>
  <si>
    <t>Precio mensual sin IVA</t>
  </si>
  <si>
    <t>CLP/mes</t>
  </si>
  <si>
    <t>75% menor que competencia</t>
  </si>
  <si>
    <t>Tasa conversión freemium</t>
  </si>
  <si>
    <t>Estándar industria SaaS</t>
  </si>
  <si>
    <t>Tasa retención anual</t>
  </si>
  <si>
    <t>Conservador (industria 85-90%)</t>
  </si>
  <si>
    <t>Tasa churn anual</t>
  </si>
  <si>
    <t>Complemento retención</t>
  </si>
  <si>
    <t>Ingreso anual por cliente</t>
  </si>
  <si>
    <t>CLP/año</t>
  </si>
  <si>
    <t>Precio × 12 meses</t>
  </si>
  <si>
    <t>PROYECCIÓN DE CLIENTES</t>
  </si>
  <si>
    <t>Año</t>
  </si>
  <si>
    <t>Clientes</t>
  </si>
  <si>
    <t>Crecimiento</t>
  </si>
  <si>
    <t>-</t>
  </si>
  <si>
    <t>Piloto + marketing inicial</t>
  </si>
  <si>
    <t>Retención 80% + 32 nuevos</t>
  </si>
  <si>
    <t>Escala + vendedor comercial</t>
  </si>
  <si>
    <t>Expansión regional</t>
  </si>
  <si>
    <t>Consolidación mercado</t>
  </si>
  <si>
    <t>Mercado total farmacias pequeñas Chile</t>
  </si>
  <si>
    <t>Fuente: Asociación de Farmacias Chile</t>
  </si>
  <si>
    <t>Penetración año 5</t>
  </si>
  <si>
    <t>COSTOS OPERACIONALES PROYECTADOS</t>
  </si>
  <si>
    <t>Todas las cifras en CLP | Fórmulas vinculadas a Supuestos</t>
  </si>
  <si>
    <t>Categoría</t>
  </si>
  <si>
    <t>Año 1</t>
  </si>
  <si>
    <t>Año 2</t>
  </si>
  <si>
    <t>Año 3</t>
  </si>
  <si>
    <t>Año 4</t>
  </si>
  <si>
    <t>Año 5</t>
  </si>
  <si>
    <t>Notas</t>
  </si>
  <si>
    <t>Infraestructura nube</t>
  </si>
  <si>
    <t>Escala con clientes</t>
  </si>
  <si>
    <t>Personal y servicios</t>
  </si>
  <si>
    <t>Contrataciones según crecimiento</t>
  </si>
  <si>
    <t>Marketing digital</t>
  </si>
  <si>
    <t>Año 1 incluye $2M lanzamiento (one-time)</t>
  </si>
  <si>
    <t>Gastos administrativos</t>
  </si>
  <si>
    <t>Año 1 incluye $1.5M legal (one-time)</t>
  </si>
  <si>
    <t>TOTAL COSTOS</t>
  </si>
  <si>
    <t>Costo por cliente/año</t>
  </si>
  <si>
    <t>FLUJO DE CAJA PROYECTADO</t>
  </si>
  <si>
    <t>Concepto</t>
  </si>
  <si>
    <t>Año 0</t>
  </si>
  <si>
    <t>INVERSIÓN INICIAL</t>
  </si>
  <si>
    <t>Clientes activos</t>
  </si>
  <si>
    <t>Ingreso por cliente</t>
  </si>
  <si>
    <t>INGRESOS OPERACIONALES</t>
  </si>
  <si>
    <t>COSTOS OPERACIONALES</t>
  </si>
  <si>
    <t>FLUJO NETO</t>
  </si>
  <si>
    <t>FLUJO ACUMULADO</t>
  </si>
  <si>
    <t>EVALUACIÓN FINANCIERA - VAN Y TIR</t>
  </si>
  <si>
    <t>PARÁMETROS</t>
  </si>
  <si>
    <t>TREMA (tasa descuento)</t>
  </si>
  <si>
    <t>← Calculada desde componentes CAPM</t>
  </si>
  <si>
    <t>Inversión inicial</t>
  </si>
  <si>
    <t>FLUJOS DESCONTADOS</t>
  </si>
  <si>
    <t>Flujo Neto</t>
  </si>
  <si>
    <t>Factor (1+r)^t</t>
  </si>
  <si>
    <t>Valor Presente</t>
  </si>
  <si>
    <t>VAN (Valor Actual Neto)</t>
  </si>
  <si>
    <t>← Si VAN &gt; 0, proyecto viable</t>
  </si>
  <si>
    <t>TIR (Tasa Interna Retorno)</t>
  </si>
  <si>
    <t>← Si TIR &gt; TREMA, proyecto rentable</t>
  </si>
  <si>
    <t>INTERPRETACIÓN</t>
  </si>
  <si>
    <t>Diferencial TIR - TREMA</t>
  </si>
  <si>
    <t>Margen de seguridad sobre costo de oportunidad</t>
  </si>
  <si>
    <t>Decisión</t>
  </si>
  <si>
    <t>ANÁLISIS DE SENSIBILIDAD</t>
  </si>
  <si>
    <t>¿Cómo cambia el VAN con diferentes tasas de descuento?</t>
  </si>
  <si>
    <t>SENSIBILIDAD A TASA DE DESCUENTO</t>
  </si>
  <si>
    <t>TREMA</t>
  </si>
  <si>
    <t>VAN</t>
  </si>
  <si>
    <t>Fila amarilla = TREMA seleccionada en el modelo (20%)</t>
  </si>
  <si>
    <t>SENSIBILIDAD A NÚMERO DE CLIENTES AÑO 5</t>
  </si>
  <si>
    <t>Clientes Año 5</t>
  </si>
  <si>
    <t>VAN estimado</t>
  </si>
  <si>
    <t>Variación</t>
  </si>
  <si>
    <t>Ver nota</t>
  </si>
  <si>
    <t>-41% clientes</t>
  </si>
  <si>
    <t>-24% clientes</t>
  </si>
  <si>
    <t>-12% clientes</t>
  </si>
  <si>
    <t>Base</t>
  </si>
  <si>
    <t>+18% clientes</t>
  </si>
  <si>
    <t>+35% clientes</t>
  </si>
  <si>
    <t>Nota: Para análisis completo, modificar clientes en hoja Supuestos</t>
  </si>
  <si>
    <t>ANÁLISIS DE PUNTO DE EQUILIBRIO</t>
  </si>
  <si>
    <t>CÁLCULO PUNTO DE EQUILIBRIO OPERACIONAL</t>
  </si>
  <si>
    <t>Costos fijos anuales (Año 1)</t>
  </si>
  <si>
    <t>Ingreso por cliente/año</t>
  </si>
  <si>
    <t>PUNTO DE EQUILIBRIO</t>
  </si>
  <si>
    <t>farmacias</t>
  </si>
  <si>
    <t>Fórmula: Costos Fijos / Ingreso por cliente</t>
  </si>
  <si>
    <t>MARGEN DE SEGURIDAD AÑO 1</t>
  </si>
  <si>
    <t>Clientes proyectados Año 1</t>
  </si>
  <si>
    <t>Punto de equilibrio</t>
  </si>
  <si>
    <t>Margen de seguridad</t>
  </si>
  <si>
    <t>clientes sobre equilibrio</t>
  </si>
  <si>
    <t>Margen de seguridad %</t>
  </si>
  <si>
    <t>MÉTRICAS CLAVE SAAS</t>
  </si>
  <si>
    <t>MÉTRICAS DE UNIT ECONOMICS</t>
  </si>
  <si>
    <t>Métrica</t>
  </si>
  <si>
    <t>Benchmark</t>
  </si>
  <si>
    <t>Estado</t>
  </si>
  <si>
    <t>CAC (Costo Adquisición Cliente)</t>
  </si>
  <si>
    <t>Variable</t>
  </si>
  <si>
    <t>Input</t>
  </si>
  <si>
    <t>Vida promedio cliente (años)</t>
  </si>
  <si>
    <t>3-5 años</t>
  </si>
  <si>
    <t>LTV (Valor Vida Cliente)</t>
  </si>
  <si>
    <t>&gt; 3× CAC</t>
  </si>
  <si>
    <t>Ratio LTV/CAC</t>
  </si>
  <si>
    <t>&gt; 3.0</t>
  </si>
  <si>
    <t>Meses para recuperar CAC</t>
  </si>
  <si>
    <t>&lt; 12 meses</t>
  </si>
  <si>
    <t>NOTA: CAC de $800k asume costo marketing + tiempo comercial</t>
  </si>
  <si>
    <t>Nota: CAC considera costo promedio incluyendo</t>
  </si>
  <si>
    <t>esfuerzo comercial del equipo fundador.</t>
  </si>
  <si>
    <t>El Año 1 incluye costos one-time de lanzamiento.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</si>
</sst>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\$#,##0"/>
    <numFmt numFmtId="166" formatCode="0.000"/>
    <numFmt numFmtId="167" formatCode="0.0"/>
  </numFmts>
  <fonts count="15">
    <font>
      <sz val="11.0"/>
      <color theme="1"/>
      <name val="Calibri"/>
      <scheme val="minor"/>
    </font>
    <font>
      <b/>
      <sz val="16.0"/>
      <color theme="1"/>
      <name val="Cambria"/>
    </font>
    <font>
      <i/>
      <sz val="10.0"/>
      <color theme="1"/>
      <name val="Cambria"/>
    </font>
    <font>
      <sz val="11.0"/>
      <color theme="1"/>
      <name val="Calibri"/>
    </font>
    <font>
      <b/>
      <sz val="14.0"/>
      <color rgb="FFFFFFFF"/>
      <name val="Cambria"/>
    </font>
    <font/>
    <font>
      <b/>
      <sz val="11.0"/>
      <color theme="1"/>
      <name val="Cambria"/>
    </font>
    <font>
      <sz val="11.0"/>
      <color rgb="FF0000FF"/>
      <name val="Cambria"/>
    </font>
    <font>
      <sz val="11.0"/>
      <color rgb="FF000000"/>
      <name val="Cambria"/>
    </font>
    <font>
      <i/>
      <sz val="11.0"/>
      <color rgb="FF666666"/>
      <name val="Cambria"/>
    </font>
    <font>
      <b/>
      <sz val="12.0"/>
      <color theme="1"/>
      <name val="Cambria"/>
    </font>
    <font>
      <b/>
      <sz val="12.0"/>
      <color rgb="FF006600"/>
      <name val="Cambria"/>
    </font>
    <font>
      <i/>
      <sz val="11.0"/>
      <color theme="1"/>
      <name val="Cambria"/>
    </font>
    <font>
      <b/>
      <sz val="14.0"/>
      <color rgb="FFC00000"/>
      <name val="Cambria"/>
    </font>
    <font>
      <i/>
      <sz val="9.0"/>
      <color theme="1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DCE5"/>
        <bgColor rgb="FFD6DCE5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3" xfId="0" applyAlignment="1" applyBorder="1" applyFont="1" applyNumberFormat="1">
      <alignment shrinkToFit="0" vertical="bottom" wrapText="0"/>
    </xf>
    <xf borderId="4" fillId="0" fontId="3" numFmtId="164" xfId="0" applyAlignment="1" applyBorder="1" applyFont="1" applyNumberFormat="1">
      <alignment shrinkToFit="0" vertical="bottom" wrapText="0"/>
    </xf>
    <xf borderId="4" fillId="0" fontId="3" numFmtId="3" xfId="0" applyAlignment="1" applyBorder="1" applyFont="1" applyNumberFormat="1">
      <alignment shrinkToFit="0" vertical="bottom" wrapText="0"/>
    </xf>
    <xf borderId="4" fillId="0" fontId="3" numFmtId="9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2" fontId="4" numFmtId="0" xfId="0" applyAlignment="1" applyBorder="1" applyFont="1">
      <alignment shrinkToFit="0" vertical="bottom" wrapText="0"/>
    </xf>
    <xf borderId="4" fillId="3" fontId="6" numFmtId="3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6" numFmtId="3" xfId="0" applyAlignment="1" applyBorder="1" applyFont="1" applyNumberFormat="1">
      <alignment shrinkToFit="0" vertical="bottom" wrapText="0"/>
    </xf>
    <xf borderId="4" fillId="4" fontId="6" numFmtId="0" xfId="0" applyAlignment="1" applyBorder="1" applyFill="1" applyFont="1">
      <alignment shrinkToFit="0" vertical="bottom" wrapText="0"/>
    </xf>
    <xf borderId="4" fillId="4" fontId="6" numFmtId="3" xfId="0" applyAlignment="1" applyBorder="1" applyFont="1" applyNumberForma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4" fillId="5" fontId="6" numFmtId="3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165" xfId="0" applyAlignment="1" applyBorder="1" applyFont="1" applyNumberFormat="1">
      <alignment shrinkToFit="0" vertical="bottom" wrapText="0"/>
    </xf>
    <xf borderId="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4" fillId="6" fontId="3" numFmtId="9" xfId="0" applyAlignment="1" applyBorder="1" applyFill="1" applyFont="1" applyNumberFormat="1">
      <alignment shrinkToFit="0" vertical="bottom" wrapText="0"/>
    </xf>
    <xf borderId="4" fillId="6" fontId="3" numFmtId="165" xfId="0" applyAlignment="1" applyBorder="1" applyFont="1" applyNumberFormat="1">
      <alignment shrinkToFit="0" vertical="bottom" wrapText="0"/>
    </xf>
    <xf borderId="4" fillId="6" fontId="3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4" fillId="0" fontId="7" numFmtId="165" xfId="0" applyAlignment="1" applyBorder="1" applyFont="1" applyNumberFormat="1">
      <alignment shrinkToFit="0" vertical="bottom" wrapText="0"/>
    </xf>
    <xf borderId="4" fillId="0" fontId="3" numFmtId="167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3" width="12.0"/>
    <col customWidth="1" min="4" max="4" width="48.29"/>
    <col customWidth="1" min="5" max="26" width="8.71"/>
  </cols>
  <sheetData>
    <row r="1" ht="19.5" customHeight="1">
      <c r="A1" s="1" t="s">
        <v>0</v>
      </c>
    </row>
    <row r="2" ht="15.0" customHeight="1">
      <c r="A2" s="2" t="s">
        <v>1</v>
      </c>
      <c r="B2" s="3"/>
      <c r="C2" s="3"/>
      <c r="D2" s="3"/>
    </row>
    <row r="3">
      <c r="A3" s="3"/>
      <c r="B3" s="3"/>
      <c r="C3" s="3"/>
      <c r="D3" s="3"/>
    </row>
    <row r="4" ht="17.25" customHeight="1">
      <c r="A4" s="4" t="s">
        <v>2</v>
      </c>
      <c r="B4" s="5"/>
      <c r="C4" s="5"/>
      <c r="D4" s="6"/>
    </row>
    <row r="5" ht="15.0" customHeight="1">
      <c r="A5" s="7" t="s">
        <v>3</v>
      </c>
      <c r="B5" s="7" t="s">
        <v>4</v>
      </c>
      <c r="C5" s="7" t="s">
        <v>5</v>
      </c>
      <c r="D5" s="7" t="s">
        <v>6</v>
      </c>
    </row>
    <row r="6" ht="15.0" customHeight="1">
      <c r="A6" s="8" t="s">
        <v>7</v>
      </c>
      <c r="B6" s="9">
        <v>0.05</v>
      </c>
      <c r="C6" s="8" t="s">
        <v>8</v>
      </c>
      <c r="D6" s="8" t="s">
        <v>9</v>
      </c>
    </row>
    <row r="7" ht="15.0" customHeight="1">
      <c r="A7" s="8" t="s">
        <v>10</v>
      </c>
      <c r="B7" s="9">
        <v>0.04</v>
      </c>
      <c r="C7" s="8" t="s">
        <v>8</v>
      </c>
      <c r="D7" s="8" t="s">
        <v>11</v>
      </c>
    </row>
    <row r="8" ht="15.0" customHeight="1">
      <c r="A8" s="8" t="s">
        <v>12</v>
      </c>
      <c r="B8" s="9">
        <v>0.03</v>
      </c>
      <c r="C8" s="8" t="s">
        <v>8</v>
      </c>
      <c r="D8" s="8" t="s">
        <v>13</v>
      </c>
    </row>
    <row r="9" ht="15.0" customHeight="1">
      <c r="A9" s="8" t="s">
        <v>14</v>
      </c>
      <c r="B9" s="10">
        <f>B6+B7+B8</f>
        <v>0.12</v>
      </c>
      <c r="C9" s="8" t="s">
        <v>8</v>
      </c>
      <c r="D9" s="8" t="s">
        <v>15</v>
      </c>
    </row>
    <row r="10" ht="15.0" customHeight="1">
      <c r="A10" s="8" t="s">
        <v>16</v>
      </c>
      <c r="B10" s="11">
        <v>5.0</v>
      </c>
      <c r="C10" s="8" t="s">
        <v>17</v>
      </c>
      <c r="D10" s="8" t="s">
        <v>18</v>
      </c>
    </row>
    <row r="11" ht="15.0" customHeight="1">
      <c r="A11" s="8" t="s">
        <v>19</v>
      </c>
      <c r="B11" s="11">
        <v>9500000.0</v>
      </c>
      <c r="C11" s="8" t="s">
        <v>20</v>
      </c>
      <c r="D11" s="8" t="s">
        <v>21</v>
      </c>
    </row>
    <row r="12">
      <c r="A12" s="3"/>
      <c r="B12" s="3"/>
      <c r="C12" s="3"/>
      <c r="D12" s="3"/>
    </row>
    <row r="13" ht="17.25" customHeight="1">
      <c r="A13" s="4" t="s">
        <v>22</v>
      </c>
      <c r="B13" s="5"/>
      <c r="C13" s="5"/>
      <c r="D13" s="6"/>
    </row>
    <row r="14" ht="15.0" customHeight="1">
      <c r="A14" s="7" t="s">
        <v>3</v>
      </c>
      <c r="B14" s="7" t="s">
        <v>4</v>
      </c>
      <c r="C14" s="7" t="s">
        <v>5</v>
      </c>
      <c r="D14" s="7" t="s">
        <v>6</v>
      </c>
    </row>
    <row r="15" ht="15.0" customHeight="1">
      <c r="A15" s="8" t="s">
        <v>23</v>
      </c>
      <c r="B15" s="12">
        <v>18000.0</v>
      </c>
      <c r="C15" s="8" t="s">
        <v>24</v>
      </c>
      <c r="D15" s="8" t="s">
        <v>25</v>
      </c>
    </row>
    <row r="16" ht="15.0" customHeight="1">
      <c r="A16" s="8" t="s">
        <v>26</v>
      </c>
      <c r="B16" s="9">
        <v>0.2</v>
      </c>
      <c r="C16" s="8" t="s">
        <v>8</v>
      </c>
      <c r="D16" s="8" t="s">
        <v>27</v>
      </c>
    </row>
    <row r="17" ht="15.0" customHeight="1">
      <c r="A17" s="8" t="s">
        <v>28</v>
      </c>
      <c r="B17" s="9">
        <v>0.8</v>
      </c>
      <c r="C17" s="8" t="s">
        <v>8</v>
      </c>
      <c r="D17" s="8" t="s">
        <v>29</v>
      </c>
    </row>
    <row r="18" ht="15.0" customHeight="1">
      <c r="A18" s="8" t="s">
        <v>30</v>
      </c>
      <c r="B18" s="13">
        <f>1-B17</f>
        <v>0.2</v>
      </c>
      <c r="C18" s="8" t="s">
        <v>8</v>
      </c>
      <c r="D18" s="8" t="s">
        <v>31</v>
      </c>
    </row>
    <row r="19" ht="15.0" customHeight="1">
      <c r="A19" s="8" t="s">
        <v>32</v>
      </c>
      <c r="B19" s="14">
        <f>B15*12</f>
        <v>216000</v>
      </c>
      <c r="C19" s="8" t="s">
        <v>33</v>
      </c>
      <c r="D19" s="8" t="s">
        <v>34</v>
      </c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7.25" customHeight="1">
      <c r="A22" s="4" t="s">
        <v>35</v>
      </c>
      <c r="B22" s="5"/>
      <c r="C22" s="5"/>
      <c r="D22" s="6"/>
    </row>
    <row r="23" ht="15.0" customHeight="1">
      <c r="A23" s="7" t="s">
        <v>36</v>
      </c>
      <c r="B23" s="7" t="s">
        <v>37</v>
      </c>
      <c r="C23" s="7" t="s">
        <v>38</v>
      </c>
      <c r="D23" s="7" t="s">
        <v>6</v>
      </c>
    </row>
    <row r="24" ht="15.0" customHeight="1">
      <c r="A24" s="8">
        <v>1.0</v>
      </c>
      <c r="B24" s="12">
        <v>35.0</v>
      </c>
      <c r="C24" s="8" t="s">
        <v>39</v>
      </c>
      <c r="D24" s="8" t="s">
        <v>40</v>
      </c>
    </row>
    <row r="25" ht="15.0" customHeight="1">
      <c r="A25" s="8">
        <v>2.0</v>
      </c>
      <c r="B25" s="12">
        <v>60.0</v>
      </c>
      <c r="C25" s="15">
        <f t="shared" ref="C25:C28" si="1">B25/B24-1</f>
        <v>0.7142857143</v>
      </c>
      <c r="D25" s="8" t="s">
        <v>41</v>
      </c>
    </row>
    <row r="26" ht="15.0" customHeight="1">
      <c r="A26" s="8">
        <v>3.0</v>
      </c>
      <c r="B26" s="12">
        <v>90.0</v>
      </c>
      <c r="C26" s="15">
        <f t="shared" si="1"/>
        <v>0.5</v>
      </c>
      <c r="D26" s="8" t="s">
        <v>42</v>
      </c>
    </row>
    <row r="27" ht="15.0" customHeight="1">
      <c r="A27" s="8">
        <v>4.0</v>
      </c>
      <c r="B27" s="12">
        <v>130.0</v>
      </c>
      <c r="C27" s="15">
        <f t="shared" si="1"/>
        <v>0.4444444444</v>
      </c>
      <c r="D27" s="8" t="s">
        <v>43</v>
      </c>
    </row>
    <row r="28" ht="15.0" customHeight="1">
      <c r="A28" s="8">
        <v>5.0</v>
      </c>
      <c r="B28" s="12">
        <v>170.0</v>
      </c>
      <c r="C28" s="15">
        <f t="shared" si="1"/>
        <v>0.3076923077</v>
      </c>
      <c r="D28" s="8" t="s">
        <v>44</v>
      </c>
    </row>
    <row r="29" ht="15.75" customHeight="1">
      <c r="A29" s="3"/>
      <c r="B29" s="3"/>
      <c r="C29" s="3"/>
      <c r="D29" s="3"/>
    </row>
    <row r="30" ht="15.0" customHeight="1">
      <c r="A30" s="3" t="s">
        <v>45</v>
      </c>
      <c r="B30" s="16">
        <v>3200.0</v>
      </c>
      <c r="C30" s="3" t="s">
        <v>46</v>
      </c>
      <c r="D30" s="3"/>
    </row>
    <row r="31" ht="15.0" customHeight="1">
      <c r="A31" s="3" t="s">
        <v>47</v>
      </c>
      <c r="B31" s="17">
        <f>B27/B30</f>
        <v>0.040625</v>
      </c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4">
    <mergeCell ref="A1:D1"/>
    <mergeCell ref="A4:D4"/>
    <mergeCell ref="A13:D13"/>
    <mergeCell ref="A22:D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6" width="18.0"/>
    <col customWidth="1" min="7" max="7" width="37.43"/>
    <col customWidth="1" min="8" max="26" width="8.71"/>
  </cols>
  <sheetData>
    <row r="1" ht="19.5" customHeight="1">
      <c r="A1" s="1" t="s">
        <v>48</v>
      </c>
    </row>
    <row r="2" ht="15.0" customHeight="1">
      <c r="A2" s="2" t="s">
        <v>49</v>
      </c>
      <c r="B2" s="3"/>
      <c r="C2" s="3"/>
      <c r="D2" s="3"/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 ht="17.25" customHeight="1">
      <c r="A4" s="18" t="s">
        <v>50</v>
      </c>
      <c r="B4" s="18" t="s">
        <v>51</v>
      </c>
      <c r="C4" s="18" t="s">
        <v>52</v>
      </c>
      <c r="D4" s="18" t="s">
        <v>53</v>
      </c>
      <c r="E4" s="18" t="s">
        <v>54</v>
      </c>
      <c r="F4" s="18" t="s">
        <v>55</v>
      </c>
      <c r="G4" s="18" t="s">
        <v>56</v>
      </c>
    </row>
    <row r="5" ht="15.0" customHeight="1">
      <c r="A5" s="8" t="s">
        <v>57</v>
      </c>
      <c r="B5" s="12">
        <v>1420000.0</v>
      </c>
      <c r="C5" s="14">
        <f>B5*1.38</f>
        <v>1959600</v>
      </c>
      <c r="D5" s="14">
        <f>C5*1.48</f>
        <v>2900208</v>
      </c>
      <c r="E5" s="14">
        <f t="shared" ref="E5:F5" si="1">D5*1.2</f>
        <v>3480249.6</v>
      </c>
      <c r="F5" s="14">
        <f t="shared" si="1"/>
        <v>4176299.52</v>
      </c>
      <c r="G5" s="8" t="s">
        <v>58</v>
      </c>
    </row>
    <row r="6" ht="15.0" customHeight="1">
      <c r="A6" s="8" t="s">
        <v>59</v>
      </c>
      <c r="B6" s="12">
        <v>3700000.0</v>
      </c>
      <c r="C6" s="12">
        <v>5250000.0</v>
      </c>
      <c r="D6" s="12">
        <v>9150000.0</v>
      </c>
      <c r="E6" s="12">
        <v>1.053E7</v>
      </c>
      <c r="F6" s="12">
        <v>1.2061E7</v>
      </c>
      <c r="G6" s="8" t="s">
        <v>60</v>
      </c>
    </row>
    <row r="7" ht="15.0" customHeight="1">
      <c r="A7" s="8" t="s">
        <v>61</v>
      </c>
      <c r="B7" s="12">
        <v>3300000.0</v>
      </c>
      <c r="C7" s="12">
        <v>1990000.0</v>
      </c>
      <c r="D7" s="12">
        <v>2175000.0</v>
      </c>
      <c r="E7" s="12">
        <v>2363000.0</v>
      </c>
      <c r="F7" s="12">
        <v>2556000.0</v>
      </c>
      <c r="G7" s="8" t="s">
        <v>62</v>
      </c>
    </row>
    <row r="8" ht="15.0" customHeight="1">
      <c r="A8" s="8" t="s">
        <v>63</v>
      </c>
      <c r="B8" s="12">
        <v>1580000.0</v>
      </c>
      <c r="C8" s="12">
        <v>296000.0</v>
      </c>
      <c r="D8" s="12">
        <v>417000.0</v>
      </c>
      <c r="E8" s="12">
        <v>551000.0</v>
      </c>
      <c r="F8" s="12">
        <v>717000.0</v>
      </c>
      <c r="G8" s="8" t="s">
        <v>64</v>
      </c>
    </row>
    <row r="9" ht="15.0" customHeight="1">
      <c r="A9" s="7" t="s">
        <v>65</v>
      </c>
      <c r="B9" s="19">
        <f t="shared" ref="B9:F9" si="2">SUM(B5:B8)</f>
        <v>10000000</v>
      </c>
      <c r="C9" s="19">
        <f t="shared" si="2"/>
        <v>9495600</v>
      </c>
      <c r="D9" s="19">
        <f t="shared" si="2"/>
        <v>14642208</v>
      </c>
      <c r="E9" s="19">
        <f t="shared" si="2"/>
        <v>16924249.6</v>
      </c>
      <c r="F9" s="19">
        <f t="shared" si="2"/>
        <v>19510299.52</v>
      </c>
      <c r="G9" s="7"/>
    </row>
    <row r="10">
      <c r="A10" s="3"/>
      <c r="B10" s="3"/>
      <c r="C10" s="3"/>
      <c r="D10" s="3"/>
      <c r="E10" s="3"/>
      <c r="F10" s="3"/>
      <c r="G10" s="3"/>
    </row>
    <row r="11" ht="15.0" customHeight="1">
      <c r="A11" s="20" t="s">
        <v>66</v>
      </c>
      <c r="B11" s="14">
        <f>B9/Supuestos!B24</f>
        <v>285714.2857</v>
      </c>
      <c r="C11" s="14">
        <f>C9/Supuestos!B25</f>
        <v>158260</v>
      </c>
      <c r="D11" s="14">
        <f>D9/Supuestos!B26</f>
        <v>162691.2</v>
      </c>
      <c r="E11" s="14">
        <f>E9/Supuestos!B27</f>
        <v>130186.5354</v>
      </c>
      <c r="F11" s="14">
        <f>F9/Supuestos!B28</f>
        <v>114766.4678</v>
      </c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7" width="15.0"/>
    <col customWidth="1" min="8" max="26" width="8.71"/>
  </cols>
  <sheetData>
    <row r="1" ht="19.5" customHeight="1">
      <c r="A1" s="1" t="s">
        <v>67</v>
      </c>
    </row>
    <row r="2">
      <c r="A2" s="3"/>
      <c r="B2" s="3"/>
      <c r="C2" s="3"/>
      <c r="D2" s="3"/>
      <c r="E2" s="3"/>
      <c r="F2" s="3"/>
      <c r="G2" s="3"/>
    </row>
    <row r="3" ht="17.25" customHeight="1">
      <c r="A3" s="18" t="s">
        <v>68</v>
      </c>
      <c r="B3" s="18" t="s">
        <v>69</v>
      </c>
      <c r="C3" s="18" t="s">
        <v>51</v>
      </c>
      <c r="D3" s="18" t="s">
        <v>52</v>
      </c>
      <c r="E3" s="18" t="s">
        <v>53</v>
      </c>
      <c r="F3" s="18" t="s">
        <v>54</v>
      </c>
      <c r="G3" s="18" t="s">
        <v>55</v>
      </c>
    </row>
    <row r="4" ht="15.0" customHeight="1">
      <c r="A4" s="21" t="s">
        <v>70</v>
      </c>
      <c r="B4" s="22">
        <f>-Supuestos!B11</f>
        <v>-9500000</v>
      </c>
      <c r="C4" s="22">
        <v>0.0</v>
      </c>
      <c r="D4" s="22">
        <v>0.0</v>
      </c>
      <c r="E4" s="22">
        <v>0.0</v>
      </c>
      <c r="F4" s="22">
        <v>0.0</v>
      </c>
      <c r="G4" s="22">
        <v>0.0</v>
      </c>
    </row>
    <row r="5" ht="15.0" customHeight="1">
      <c r="A5" s="8"/>
      <c r="B5" s="14"/>
      <c r="C5" s="14"/>
      <c r="D5" s="14"/>
      <c r="E5" s="14"/>
      <c r="F5" s="14"/>
      <c r="G5" s="14"/>
    </row>
    <row r="6" ht="15.0" customHeight="1">
      <c r="A6" s="8" t="s">
        <v>71</v>
      </c>
      <c r="B6" s="14"/>
      <c r="C6" s="14">
        <f>Supuestos!B24</f>
        <v>35</v>
      </c>
      <c r="D6" s="14">
        <f>Supuestos!B25</f>
        <v>60</v>
      </c>
      <c r="E6" s="14">
        <f>Supuestos!B26</f>
        <v>90</v>
      </c>
      <c r="F6" s="14">
        <f>Supuestos!B27</f>
        <v>130</v>
      </c>
      <c r="G6" s="14">
        <f>Supuestos!B28</f>
        <v>170</v>
      </c>
    </row>
    <row r="7" ht="15.0" customHeight="1">
      <c r="A7" s="8" t="s">
        <v>72</v>
      </c>
      <c r="B7" s="14"/>
      <c r="C7" s="14">
        <f>Supuestos!B19</f>
        <v>216000</v>
      </c>
      <c r="D7" s="14">
        <f>Supuestos!B19</f>
        <v>216000</v>
      </c>
      <c r="E7" s="14">
        <f>Supuestos!B19</f>
        <v>216000</v>
      </c>
      <c r="F7" s="14">
        <f>Supuestos!B19</f>
        <v>216000</v>
      </c>
      <c r="G7" s="14">
        <f>Supuestos!B19</f>
        <v>216000</v>
      </c>
    </row>
    <row r="8" ht="15.0" customHeight="1">
      <c r="A8" s="21" t="s">
        <v>73</v>
      </c>
      <c r="B8" s="22">
        <v>0.0</v>
      </c>
      <c r="C8" s="22">
        <f t="shared" ref="C8:G8" si="1">C6*C7</f>
        <v>7560000</v>
      </c>
      <c r="D8" s="22">
        <f t="shared" si="1"/>
        <v>12960000</v>
      </c>
      <c r="E8" s="22">
        <f t="shared" si="1"/>
        <v>19440000</v>
      </c>
      <c r="F8" s="22">
        <f t="shared" si="1"/>
        <v>28080000</v>
      </c>
      <c r="G8" s="22">
        <f t="shared" si="1"/>
        <v>36720000</v>
      </c>
    </row>
    <row r="9" ht="15.0" customHeight="1">
      <c r="A9" s="8"/>
      <c r="B9" s="14"/>
      <c r="C9" s="14"/>
      <c r="D9" s="14"/>
      <c r="E9" s="14"/>
      <c r="F9" s="14"/>
      <c r="G9" s="14"/>
    </row>
    <row r="10" ht="15.0" customHeight="1">
      <c r="A10" s="21" t="s">
        <v>74</v>
      </c>
      <c r="B10" s="22">
        <v>0.0</v>
      </c>
      <c r="C10" s="22">
        <f>'Costos Operacionales'!B9</f>
        <v>10000000</v>
      </c>
      <c r="D10" s="22">
        <f>'Costos Operacionales'!C9</f>
        <v>9495600</v>
      </c>
      <c r="E10" s="22">
        <f>'Costos Operacionales'!D9</f>
        <v>14642208</v>
      </c>
      <c r="F10" s="22">
        <f>'Costos Operacionales'!E9</f>
        <v>16924249.6</v>
      </c>
      <c r="G10" s="22">
        <f>'Costos Operacionales'!F9</f>
        <v>19510299.52</v>
      </c>
    </row>
    <row r="11" ht="15.0" customHeight="1">
      <c r="A11" s="8"/>
      <c r="B11" s="14"/>
      <c r="C11" s="14"/>
      <c r="D11" s="14"/>
      <c r="E11" s="14"/>
      <c r="F11" s="14"/>
      <c r="G11" s="14"/>
    </row>
    <row r="12" ht="15.0" customHeight="1">
      <c r="A12" s="23" t="s">
        <v>75</v>
      </c>
      <c r="B12" s="24">
        <f>B4</f>
        <v>-9500000</v>
      </c>
      <c r="C12" s="24">
        <f t="shared" ref="C12:G12" si="2">C8-C10</f>
        <v>-2440000</v>
      </c>
      <c r="D12" s="24">
        <f t="shared" si="2"/>
        <v>3464400</v>
      </c>
      <c r="E12" s="24">
        <f t="shared" si="2"/>
        <v>4797792</v>
      </c>
      <c r="F12" s="24">
        <f t="shared" si="2"/>
        <v>11155750.4</v>
      </c>
      <c r="G12" s="24">
        <f t="shared" si="2"/>
        <v>17209700.48</v>
      </c>
    </row>
    <row r="13" ht="15.0" customHeight="1">
      <c r="A13" s="8"/>
      <c r="B13" s="14"/>
      <c r="C13" s="14"/>
      <c r="D13" s="14"/>
      <c r="E13" s="14"/>
      <c r="F13" s="14"/>
      <c r="G13" s="14"/>
    </row>
    <row r="14" ht="15.0" customHeight="1">
      <c r="A14" s="25" t="s">
        <v>76</v>
      </c>
      <c r="B14" s="26">
        <f>B12</f>
        <v>-9500000</v>
      </c>
      <c r="C14" s="26">
        <f t="shared" ref="C14:G14" si="3">B14+C12</f>
        <v>-11940000</v>
      </c>
      <c r="D14" s="26">
        <f t="shared" si="3"/>
        <v>-8475600</v>
      </c>
      <c r="E14" s="26">
        <f t="shared" si="3"/>
        <v>-3677808</v>
      </c>
      <c r="F14" s="26">
        <f t="shared" si="3"/>
        <v>7477942.4</v>
      </c>
      <c r="G14" s="26">
        <f t="shared" si="3"/>
        <v>24687642.88</v>
      </c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3.86"/>
    <col customWidth="1" min="3" max="3" width="43.14"/>
    <col customWidth="1" min="4" max="4" width="15.29"/>
    <col customWidth="1" min="5" max="26" width="8.71"/>
  </cols>
  <sheetData>
    <row r="1" ht="19.5" customHeight="1">
      <c r="A1" s="1" t="s">
        <v>77</v>
      </c>
    </row>
    <row r="2">
      <c r="A2" s="3"/>
      <c r="B2" s="3"/>
      <c r="C2" s="3"/>
      <c r="D2" s="3"/>
    </row>
    <row r="3" ht="17.25" customHeight="1">
      <c r="A3" s="4" t="s">
        <v>78</v>
      </c>
      <c r="B3" s="6"/>
      <c r="C3" s="3"/>
      <c r="D3" s="3"/>
    </row>
    <row r="4" ht="15.0" customHeight="1">
      <c r="A4" s="3" t="s">
        <v>79</v>
      </c>
      <c r="B4" s="17">
        <f>Supuestos!B9</f>
        <v>0.12</v>
      </c>
      <c r="C4" s="27" t="s">
        <v>80</v>
      </c>
      <c r="D4" s="3"/>
    </row>
    <row r="5" ht="15.0" customHeight="1">
      <c r="A5" s="3" t="s">
        <v>81</v>
      </c>
      <c r="B5" s="28">
        <f>Supuestos!B11</f>
        <v>9500000</v>
      </c>
      <c r="C5" s="3"/>
      <c r="D5" s="3"/>
    </row>
    <row r="6">
      <c r="A6" s="3"/>
      <c r="B6" s="3"/>
      <c r="C6" s="3"/>
      <c r="D6" s="3"/>
    </row>
    <row r="7" ht="17.25" customHeight="1">
      <c r="A7" s="4" t="s">
        <v>82</v>
      </c>
      <c r="B7" s="5"/>
      <c r="C7" s="5"/>
      <c r="D7" s="5"/>
      <c r="E7" s="6"/>
    </row>
    <row r="8" ht="15.0" customHeight="1">
      <c r="A8" s="7" t="s">
        <v>36</v>
      </c>
      <c r="B8" s="7" t="s">
        <v>83</v>
      </c>
      <c r="C8" s="7" t="s">
        <v>84</v>
      </c>
      <c r="D8" s="7" t="s">
        <v>85</v>
      </c>
    </row>
    <row r="9" ht="15.0" customHeight="1">
      <c r="A9" s="29">
        <v>0.0</v>
      </c>
      <c r="B9" s="30">
        <f>'Flujo de Caja'!B12</f>
        <v>-9500000</v>
      </c>
      <c r="C9" s="31">
        <f>1</f>
        <v>1</v>
      </c>
      <c r="D9" s="30">
        <f>B9*C9</f>
        <v>-9500000</v>
      </c>
    </row>
    <row r="10" ht="15.0" customHeight="1">
      <c r="A10" s="29">
        <v>1.0</v>
      </c>
      <c r="B10" s="30">
        <f>'Flujo de Caja'!C12</f>
        <v>-2440000</v>
      </c>
      <c r="C10" s="31">
        <f t="shared" ref="C10:C14" si="1">(1+$B$4)^A10</f>
        <v>1.12</v>
      </c>
      <c r="D10" s="30">
        <f t="shared" ref="D10:D14" si="2">B10/C10</f>
        <v>-2178571.429</v>
      </c>
    </row>
    <row r="11" ht="15.0" customHeight="1">
      <c r="A11" s="29">
        <v>2.0</v>
      </c>
      <c r="B11" s="30">
        <f>'Flujo de Caja'!D12</f>
        <v>3464400</v>
      </c>
      <c r="C11" s="31">
        <f t="shared" si="1"/>
        <v>1.2544</v>
      </c>
      <c r="D11" s="30">
        <f t="shared" si="2"/>
        <v>2761798.469</v>
      </c>
    </row>
    <row r="12" ht="15.0" customHeight="1">
      <c r="A12" s="29">
        <v>3.0</v>
      </c>
      <c r="B12" s="30">
        <f>'Flujo de Caja'!E12</f>
        <v>4797792</v>
      </c>
      <c r="C12" s="31">
        <f t="shared" si="1"/>
        <v>1.404928</v>
      </c>
      <c r="D12" s="30">
        <f t="shared" si="2"/>
        <v>3414973.579</v>
      </c>
    </row>
    <row r="13" ht="15.0" customHeight="1">
      <c r="A13" s="29">
        <v>4.0</v>
      </c>
      <c r="B13" s="30">
        <f>'Flujo de Caja'!F12</f>
        <v>11155750.4</v>
      </c>
      <c r="C13" s="31">
        <f t="shared" si="1"/>
        <v>1.57351936</v>
      </c>
      <c r="D13" s="30">
        <f t="shared" si="2"/>
        <v>7089681.057</v>
      </c>
    </row>
    <row r="14" ht="15.0" customHeight="1">
      <c r="A14" s="29">
        <v>5.0</v>
      </c>
      <c r="B14" s="30">
        <f>'Flujo de Caja'!G12</f>
        <v>17209700.48</v>
      </c>
      <c r="C14" s="31">
        <f t="shared" si="1"/>
        <v>1.762341683</v>
      </c>
      <c r="D14" s="30">
        <f t="shared" si="2"/>
        <v>9765246.231</v>
      </c>
    </row>
    <row r="15">
      <c r="A15" s="3"/>
      <c r="B15" s="3"/>
      <c r="C15" s="3"/>
      <c r="D15" s="3"/>
    </row>
    <row r="16" ht="15.0" customHeight="1">
      <c r="A16" s="32" t="s">
        <v>86</v>
      </c>
      <c r="B16" s="33">
        <f>SUM(D9:D14)</f>
        <v>11353127.91</v>
      </c>
      <c r="C16" s="3" t="s">
        <v>87</v>
      </c>
      <c r="D16" s="3"/>
    </row>
    <row r="17" ht="15.0" customHeight="1">
      <c r="A17" s="32" t="s">
        <v>88</v>
      </c>
      <c r="B17" s="34">
        <f>IRR(B9:B14)</f>
        <v>0.3414759458</v>
      </c>
      <c r="C17" s="3" t="s">
        <v>89</v>
      </c>
      <c r="D17" s="3"/>
    </row>
    <row r="18">
      <c r="A18" s="3"/>
      <c r="B18" s="3"/>
      <c r="C18" s="3"/>
      <c r="D18" s="3"/>
    </row>
    <row r="19" ht="17.25" customHeight="1">
      <c r="A19" s="4" t="s">
        <v>90</v>
      </c>
      <c r="B19" s="5"/>
      <c r="C19" s="5"/>
      <c r="D19" s="6"/>
    </row>
    <row r="20" ht="15.0" customHeight="1">
      <c r="A20" s="3" t="s">
        <v>91</v>
      </c>
      <c r="B20" s="17">
        <f>B17-B4</f>
        <v>0.2214759458</v>
      </c>
      <c r="C20" s="3" t="s">
        <v>92</v>
      </c>
      <c r="D20" s="3"/>
    </row>
    <row r="21" ht="15.0" customHeight="1">
      <c r="A21" s="3" t="s">
        <v>93</v>
      </c>
      <c r="B21" s="20" t="str">
        <f>IF(AND(B16&gt;0,B17&gt;B4),"VIABLE","NO VIABLE")</f>
        <v>VIABLE</v>
      </c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4">
    <mergeCell ref="A1:E1"/>
    <mergeCell ref="A3:B3"/>
    <mergeCell ref="A7:E7"/>
    <mergeCell ref="A19:D1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0"/>
    <col customWidth="1" min="3" max="3" width="15.0"/>
    <col customWidth="1" min="4" max="26" width="8.71"/>
  </cols>
  <sheetData>
    <row r="1" ht="19.5" customHeight="1">
      <c r="A1" s="1" t="s">
        <v>94</v>
      </c>
    </row>
    <row r="2" ht="15.0" customHeight="1">
      <c r="A2" s="35" t="s">
        <v>95</v>
      </c>
      <c r="B2" s="3"/>
      <c r="C2" s="3"/>
    </row>
    <row r="3">
      <c r="A3" s="3"/>
      <c r="B3" s="3"/>
      <c r="C3" s="3"/>
    </row>
    <row r="4" ht="17.25" customHeight="1">
      <c r="A4" s="4" t="s">
        <v>96</v>
      </c>
      <c r="B4" s="5"/>
      <c r="C4" s="6"/>
    </row>
    <row r="5" ht="15.0" customHeight="1">
      <c r="A5" s="7" t="s">
        <v>97</v>
      </c>
      <c r="B5" s="7" t="s">
        <v>98</v>
      </c>
      <c r="C5" s="7" t="s">
        <v>93</v>
      </c>
    </row>
    <row r="6" ht="15.0" customHeight="1">
      <c r="A6" s="15">
        <v>0.1</v>
      </c>
      <c r="B6" s="30">
        <f>'Flujo de Caja'!B12 + 'Flujo de Caja'!C12/(1+A6)^1 + 'Flujo de Caja'!D12/(1+A6)^2 + 'Flujo de Caja'!E12/(1+A6)^3 + 'Flujo de Caja'!F12/(1+A6)^4 + 'Flujo de Caja'!G12/(1+A6)^5</f>
        <v>13055008.44</v>
      </c>
      <c r="C6" s="8" t="str">
        <f t="shared" ref="C6:C12" si="1">IF(B6&gt;0,"VIABLE","NO VIABLE")</f>
        <v>VIABLE</v>
      </c>
    </row>
    <row r="7" ht="15.0" customHeight="1">
      <c r="A7" s="15">
        <v>0.12</v>
      </c>
      <c r="B7" s="30">
        <f>'Flujo de Caja'!B12 + 'Flujo de Caja'!C12/(1+A7)^1 + 'Flujo de Caja'!D12/(1+A7)^2 + 'Flujo de Caja'!E12/(1+A7)^3 + 'Flujo de Caja'!F12/(1+A7)^4 + 'Flujo de Caja'!G12/(1+A7)^5</f>
        <v>11353127.91</v>
      </c>
      <c r="C7" s="8" t="str">
        <f t="shared" si="1"/>
        <v>VIABLE</v>
      </c>
    </row>
    <row r="8" ht="15.0" customHeight="1">
      <c r="A8" s="15">
        <v>0.15</v>
      </c>
      <c r="B8" s="30">
        <f>'Flujo de Caja'!B12 + 'Flujo de Caja'!C12/(1+A8)^1 + 'Flujo de Caja'!D12/(1+A8)^2 + 'Flujo de Caja'!E12/(1+A8)^3 + 'Flujo de Caja'!F12/(1+A8)^4 + 'Flujo de Caja'!G12/(1+A8)^5</f>
        <v>9087070.309</v>
      </c>
      <c r="C8" s="8" t="str">
        <f t="shared" si="1"/>
        <v>VIABLE</v>
      </c>
    </row>
    <row r="9" ht="15.0" customHeight="1">
      <c r="A9" s="15">
        <v>0.18</v>
      </c>
      <c r="B9" s="30">
        <f>'Flujo de Caja'!B12 + 'Flujo de Caja'!C12/(1+A9)^1 + 'Flujo de Caja'!D12/(1+A9)^2 + 'Flujo de Caja'!E12/(1+A9)^3 + 'Flujo de Caja'!F12/(1+A9)^4 + 'Flujo de Caja'!G12/(1+A9)^5</f>
        <v>7116896.499</v>
      </c>
      <c r="C9" s="8" t="str">
        <f t="shared" si="1"/>
        <v>VIABLE</v>
      </c>
    </row>
    <row r="10" ht="15.0" customHeight="1">
      <c r="A10" s="36">
        <v>0.2</v>
      </c>
      <c r="B10" s="37">
        <f>'Flujo de Caja'!B12 + 'Flujo de Caja'!C12/(1+A10)^1 + 'Flujo de Caja'!D12/(1+A10)^2 + 'Flujo de Caja'!E12/(1+A10)^3 + 'Flujo de Caja'!F12/(1+A10)^4 + 'Flujo de Caja'!G12/(1+A10)^5</f>
        <v>5945087.706</v>
      </c>
      <c r="C10" s="38" t="str">
        <f t="shared" si="1"/>
        <v>VIABLE</v>
      </c>
    </row>
    <row r="11" ht="15.0" customHeight="1">
      <c r="A11" s="15">
        <v>0.22</v>
      </c>
      <c r="B11" s="30">
        <f>'Flujo de Caja'!B12 + 'Flujo de Caja'!C12/(1+A11)^1 + 'Flujo de Caja'!D12/(1+A11)^2 + 'Flujo de Caja'!E12/(1+A11)^3 + 'Flujo de Caja'!F12/(1+A11)^4 + 'Flujo de Caja'!G12/(1+A11)^5</f>
        <v>4873049.075</v>
      </c>
      <c r="C11" s="8" t="str">
        <f t="shared" si="1"/>
        <v>VIABLE</v>
      </c>
    </row>
    <row r="12" ht="15.0" customHeight="1">
      <c r="A12" s="15">
        <v>0.25</v>
      </c>
      <c r="B12" s="30">
        <f>'Flujo de Caja'!B12 + 'Flujo de Caja'!C12/(1+A12)^1 + 'Flujo de Caja'!D12/(1+A12)^2 + 'Flujo de Caja'!E12/(1+A12)^3 + 'Flujo de Caja'!F12/(1+A12)^4 + 'Flujo de Caja'!G12/(1+A12)^5</f>
        <v>3430355.521</v>
      </c>
      <c r="C12" s="8" t="str">
        <f t="shared" si="1"/>
        <v>VIABLE</v>
      </c>
    </row>
    <row r="13">
      <c r="A13" s="3"/>
      <c r="B13" s="3"/>
      <c r="C13" s="3"/>
    </row>
    <row r="14" ht="15.0" customHeight="1">
      <c r="A14" s="2" t="s">
        <v>99</v>
      </c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 ht="17.25" customHeight="1">
      <c r="A17" s="4" t="s">
        <v>100</v>
      </c>
      <c r="B17" s="5"/>
      <c r="C17" s="6"/>
    </row>
    <row r="18" ht="15.0" customHeight="1">
      <c r="A18" s="7" t="s">
        <v>101</v>
      </c>
      <c r="B18" s="7" t="s">
        <v>102</v>
      </c>
      <c r="C18" s="7" t="s">
        <v>103</v>
      </c>
    </row>
    <row r="19" ht="15.0" customHeight="1">
      <c r="A19" s="8">
        <v>100.0</v>
      </c>
      <c r="B19" s="8" t="s">
        <v>104</v>
      </c>
      <c r="C19" s="8" t="s">
        <v>105</v>
      </c>
    </row>
    <row r="20" ht="15.0" customHeight="1">
      <c r="A20" s="8">
        <v>130.0</v>
      </c>
      <c r="B20" s="8" t="s">
        <v>104</v>
      </c>
      <c r="C20" s="8" t="s">
        <v>106</v>
      </c>
    </row>
    <row r="21" ht="15.0" customHeight="1">
      <c r="A21" s="8">
        <v>150.0</v>
      </c>
      <c r="B21" s="8" t="s">
        <v>104</v>
      </c>
      <c r="C21" s="8" t="s">
        <v>107</v>
      </c>
    </row>
    <row r="22" ht="15.0" customHeight="1">
      <c r="A22" s="38">
        <v>170.0</v>
      </c>
      <c r="B22" s="38" t="s">
        <v>104</v>
      </c>
      <c r="C22" s="38" t="s">
        <v>108</v>
      </c>
    </row>
    <row r="23" ht="15.0" customHeight="1">
      <c r="A23" s="8">
        <v>200.0</v>
      </c>
      <c r="B23" s="8" t="s">
        <v>104</v>
      </c>
      <c r="C23" s="8" t="s">
        <v>109</v>
      </c>
    </row>
    <row r="24" ht="15.0" customHeight="1">
      <c r="A24" s="8">
        <v>230.0</v>
      </c>
      <c r="B24" s="8" t="s">
        <v>104</v>
      </c>
      <c r="C24" s="8" t="s">
        <v>110</v>
      </c>
    </row>
    <row r="25" ht="15.75" customHeight="1">
      <c r="A25" s="3"/>
      <c r="B25" s="3"/>
      <c r="C25" s="3"/>
    </row>
    <row r="26" ht="15.0" customHeight="1">
      <c r="A26" s="2" t="s">
        <v>111</v>
      </c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mergeCells count="3">
    <mergeCell ref="A1:F1"/>
    <mergeCell ref="A4:C4"/>
    <mergeCell ref="A17:C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3" width="25.0"/>
    <col customWidth="1" min="4" max="26" width="8.71"/>
  </cols>
  <sheetData>
    <row r="1" ht="19.5" customHeight="1">
      <c r="A1" s="1" t="s">
        <v>112</v>
      </c>
    </row>
    <row r="2">
      <c r="A2" s="3"/>
      <c r="B2" s="3"/>
      <c r="C2" s="3"/>
    </row>
    <row r="3" ht="17.25" customHeight="1">
      <c r="A3" s="4" t="s">
        <v>113</v>
      </c>
      <c r="B3" s="5"/>
      <c r="C3" s="6"/>
    </row>
    <row r="4">
      <c r="A4" s="3"/>
      <c r="B4" s="3"/>
      <c r="C4" s="3"/>
    </row>
    <row r="5" ht="15.0" customHeight="1">
      <c r="A5" s="3" t="s">
        <v>114</v>
      </c>
      <c r="B5" s="28">
        <f>'Costos Operacionales'!B9</f>
        <v>10000000</v>
      </c>
      <c r="C5" s="3"/>
    </row>
    <row r="6" ht="15.0" customHeight="1">
      <c r="A6" s="3" t="s">
        <v>115</v>
      </c>
      <c r="B6" s="28">
        <f>Supuestos!B19</f>
        <v>216000</v>
      </c>
      <c r="C6" s="3"/>
    </row>
    <row r="7">
      <c r="A7" s="3"/>
      <c r="B7" s="3"/>
      <c r="C7" s="3"/>
    </row>
    <row r="8" ht="17.25" customHeight="1">
      <c r="A8" s="32" t="s">
        <v>116</v>
      </c>
      <c r="B8" s="39">
        <f>ROUNDUP(B5/B6,0)</f>
        <v>47</v>
      </c>
      <c r="C8" s="32" t="s">
        <v>117</v>
      </c>
    </row>
    <row r="9" ht="15.0" customHeight="1">
      <c r="A9" s="27" t="s">
        <v>118</v>
      </c>
      <c r="B9" s="3"/>
      <c r="C9" s="3"/>
    </row>
    <row r="10">
      <c r="A10" s="3"/>
      <c r="B10" s="3"/>
      <c r="C10" s="3"/>
    </row>
    <row r="11" ht="17.25" customHeight="1">
      <c r="A11" s="4" t="s">
        <v>119</v>
      </c>
      <c r="B11" s="5"/>
      <c r="C11" s="6"/>
    </row>
    <row r="12">
      <c r="A12" s="3"/>
      <c r="B12" s="3"/>
      <c r="C12" s="3"/>
    </row>
    <row r="13" ht="15.0" customHeight="1">
      <c r="A13" s="3" t="s">
        <v>120</v>
      </c>
      <c r="B13" s="40">
        <f>Supuestos!B24</f>
        <v>35</v>
      </c>
      <c r="C13" s="3"/>
    </row>
    <row r="14" ht="15.0" customHeight="1">
      <c r="A14" s="3" t="s">
        <v>121</v>
      </c>
      <c r="B14" s="3">
        <f>B8</f>
        <v>47</v>
      </c>
      <c r="C14" s="3"/>
    </row>
    <row r="15" ht="15.0" customHeight="1">
      <c r="A15" s="3" t="s">
        <v>122</v>
      </c>
      <c r="B15" s="40">
        <f>B13-B8</f>
        <v>-12</v>
      </c>
      <c r="C15" s="3" t="s">
        <v>123</v>
      </c>
    </row>
    <row r="16" ht="15.0" customHeight="1">
      <c r="A16" s="3" t="s">
        <v>124</v>
      </c>
      <c r="B16" s="17">
        <f>(B13-B14)/B13</f>
        <v>-0.3428571429</v>
      </c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mergeCells count="3">
    <mergeCell ref="A1:D1"/>
    <mergeCell ref="A3:C3"/>
    <mergeCell ref="A11:C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4" width="15.0"/>
    <col customWidth="1" min="5" max="26" width="8.71"/>
  </cols>
  <sheetData>
    <row r="1" ht="19.5" customHeight="1">
      <c r="A1" s="1" t="s">
        <v>125</v>
      </c>
    </row>
    <row r="2">
      <c r="A2" s="3"/>
      <c r="B2" s="3"/>
      <c r="C2" s="3"/>
      <c r="D2" s="3"/>
    </row>
    <row r="3" ht="17.25" customHeight="1">
      <c r="A3" s="4" t="s">
        <v>126</v>
      </c>
      <c r="B3" s="5"/>
      <c r="C3" s="5"/>
      <c r="D3" s="6"/>
    </row>
    <row r="4" ht="15.0" customHeight="1">
      <c r="A4" s="7" t="s">
        <v>127</v>
      </c>
      <c r="B4" s="7" t="s">
        <v>4</v>
      </c>
      <c r="C4" s="7" t="s">
        <v>128</v>
      </c>
      <c r="D4" s="7" t="s">
        <v>129</v>
      </c>
    </row>
    <row r="5" ht="15.0" customHeight="1">
      <c r="A5" s="8" t="s">
        <v>130</v>
      </c>
      <c r="B5" s="41">
        <v>350000.0</v>
      </c>
      <c r="C5" s="8" t="s">
        <v>131</v>
      </c>
      <c r="D5" s="8" t="s">
        <v>132</v>
      </c>
    </row>
    <row r="6" ht="15.0" customHeight="1">
      <c r="A6" s="8" t="s">
        <v>133</v>
      </c>
      <c r="B6" s="42">
        <f>1/(1-Supuestos!B17)</f>
        <v>5</v>
      </c>
      <c r="C6" s="8" t="s">
        <v>134</v>
      </c>
      <c r="D6" s="8" t="str">
        <f>IF(B6&gt;=3,"OK","BAJO")</f>
        <v>OK</v>
      </c>
    </row>
    <row r="7" ht="15.0" customHeight="1">
      <c r="A7" s="8" t="s">
        <v>135</v>
      </c>
      <c r="B7" s="30">
        <f>Supuestos!B19*B6</f>
        <v>1080000</v>
      </c>
      <c r="C7" s="8" t="s">
        <v>136</v>
      </c>
      <c r="D7" s="8" t="str">
        <f>IF(B7&gt;3*B5,"OK","REVISAR")</f>
        <v>OK</v>
      </c>
    </row>
    <row r="8" ht="15.0" customHeight="1">
      <c r="A8" s="8" t="s">
        <v>137</v>
      </c>
      <c r="B8" s="42">
        <f>B7/B5</f>
        <v>3.085714286</v>
      </c>
      <c r="C8" s="8" t="s">
        <v>138</v>
      </c>
      <c r="D8" s="21" t="str">
        <f>IF(B8&gt;=3,"SALUDABLE",IF(B8&gt;=2,"ACEPTABLE","CRÍTICO"))</f>
        <v>SALUDABLE</v>
      </c>
    </row>
    <row r="9" ht="15.0" customHeight="1">
      <c r="A9" s="8" t="s">
        <v>139</v>
      </c>
      <c r="B9" s="42">
        <f>B5/(Supuestos!B15)</f>
        <v>19.44444444</v>
      </c>
      <c r="C9" s="8" t="s">
        <v>140</v>
      </c>
      <c r="D9" s="8" t="str">
        <f>IF(B9&lt;=12,"OK","LENTO")</f>
        <v>LENTO</v>
      </c>
    </row>
    <row r="10">
      <c r="A10" s="3"/>
      <c r="B10" s="3"/>
      <c r="C10" s="3"/>
      <c r="D10" s="3"/>
    </row>
    <row r="11" ht="15.0" customHeight="1">
      <c r="A11" s="2" t="s">
        <v>141</v>
      </c>
      <c r="B11" s="3"/>
      <c r="C11" s="3"/>
      <c r="D11" s="3"/>
    </row>
    <row r="12" ht="15.0" customHeight="1">
      <c r="A12" s="43" t="s">
        <v>142</v>
      </c>
      <c r="B12" s="3"/>
      <c r="C12" s="3"/>
      <c r="D12" s="3"/>
    </row>
    <row r="13" ht="15.0" customHeight="1">
      <c r="A13" s="43" t="s">
        <v>143</v>
      </c>
      <c r="B13" s="3"/>
      <c r="C13" s="3"/>
      <c r="D13" s="3"/>
    </row>
    <row r="14" ht="15.0" customHeight="1">
      <c r="A14" s="43" t="s">
        <v>144</v>
      </c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2">
    <mergeCell ref="A1:D1"/>
    <mergeCell ref="A3:D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2025-11-30T19:16:57Z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