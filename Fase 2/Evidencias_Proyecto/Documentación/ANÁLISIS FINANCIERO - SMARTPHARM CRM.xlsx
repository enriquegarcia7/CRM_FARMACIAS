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stos MVP" sheetId="1" r:id="rId4"/>
    <sheet state="visible" name="Costos Operacionales" sheetId="2" r:id="rId5"/>
    <sheet state="visible" name="Ingresos Proyectados" sheetId="3" r:id="rId6"/>
    <sheet state="visible" name="Punto Equilibrio" sheetId="4" r:id="rId7"/>
    <sheet state="visible" name="ROI y VAN" sheetId="5" r:id="rId8"/>
    <sheet state="visible" name="Análisis Sensibilidad" sheetId="6" r:id="rId9"/>
    <sheet state="visible" name="Estructura Tributaria" sheetId="7" r:id="rId10"/>
    <sheet state="visible" name="Conclusiones" sheetId="8" r:id="rId11"/>
  </sheets>
  <definedNames/>
  <calcPr/>
</workbook>
</file>

<file path=xl/sharedStrings.xml><?xml version="1.0" encoding="utf-8"?>
<sst xmlns="http://schemas.openxmlformats.org/spreadsheetml/2006/main" count="491" uniqueCount="441">
  <si>
    <t>INVERSIÓN INICIAL - DESARROLLO</t>
  </si>
  <si>
    <t>Concepto</t>
  </si>
  <si>
    <t>Cantidad</t>
  </si>
  <si>
    <t>Valor Unitario</t>
  </si>
  <si>
    <t>Subtotal CLP</t>
  </si>
  <si>
    <t>Horas desarrollo equipo</t>
  </si>
  <si>
    <t>Enrique García (Líder/Analista)</t>
  </si>
  <si>
    <t>300 horas</t>
  </si>
  <si>
    <t>$12.000/hora</t>
  </si>
  <si>
    <t>$3.600.000</t>
  </si>
  <si>
    <t>Daniel Acevedo (Validador/QA)</t>
  </si>
  <si>
    <t>250 horas</t>
  </si>
  <si>
    <t>$10.000/hora</t>
  </si>
  <si>
    <t>$2.500.000</t>
  </si>
  <si>
    <t>Bastian Hartal (Desarrollador)</t>
  </si>
  <si>
    <t>350 horas</t>
  </si>
  <si>
    <t>$15.000/hora</t>
  </si>
  <si>
    <t>$5.250.000</t>
  </si>
  <si>
    <t>Subtotal Desarrollo</t>
  </si>
  <si>
    <t>$11.350.000</t>
  </si>
  <si>
    <t>Infraestructura académica</t>
  </si>
  <si>
    <t>Hosting desarrollo (GCP free tier)</t>
  </si>
  <si>
    <t>3 meses</t>
  </si>
  <si>
    <t>$0</t>
  </si>
  <si>
    <t>Dominio .cl temporal</t>
  </si>
  <si>
    <t>Herramientas desarrollo (GitHub, etc.)</t>
  </si>
  <si>
    <t>-</t>
  </si>
  <si>
    <t>Subtotal Infraestructura</t>
  </si>
  <si>
    <t>TOTAL INVERSIÓN MVP</t>
  </si>
  <si>
    <t>Notas:</t>
  </si>
  <si>
    <t>Costos basados en valor hora mercado chileno 2025 (Glassdoor, Indeed)</t>
  </si>
  <si>
    <t>Infraestructura $0 por ser proyecto académico (free tier)</t>
  </si>
  <si>
    <t>Este es el "costo de oportunidad" del tiempo invertido</t>
  </si>
  <si>
    <t>COSTOS OPERACIONALES POST-MVP (Año 1)</t>
  </si>
  <si>
    <t>COSTOS FIJOS MENSUALES</t>
  </si>
  <si>
    <t>Mensual CLP</t>
  </si>
  <si>
    <t>Anual CLP</t>
  </si>
  <si>
    <t>IVA 19%</t>
  </si>
  <si>
    <t>Total con IVA</t>
  </si>
  <si>
    <t>Infraestructura Cloud</t>
  </si>
  <si>
    <t>AWS/GCP hosting</t>
  </si>
  <si>
    <t>$45.000</t>
  </si>
  <si>
    <t>$540.000</t>
  </si>
  <si>
    <t>$102.600</t>
  </si>
  <si>
    <t>$642.600</t>
  </si>
  <si>
    <t>Base de datos PostgreSQL</t>
  </si>
  <si>
    <t>$25.000</t>
  </si>
  <si>
    <t>$300.000</t>
  </si>
  <si>
    <t>$57.000</t>
  </si>
  <si>
    <t>$357.000</t>
  </si>
  <si>
    <t>CDN y backup</t>
  </si>
  <si>
    <t>$15.000</t>
  </si>
  <si>
    <t>$180.000</t>
  </si>
  <si>
    <t>$34.200</t>
  </si>
  <si>
    <t>$214.200</t>
  </si>
  <si>
    <t>Dominio .cl</t>
  </si>
  <si>
    <t>$1.500</t>
  </si>
  <si>
    <t>$18.000</t>
  </si>
  <si>
    <t>$3.420</t>
  </si>
  <si>
    <t>$21.420</t>
  </si>
  <si>
    <t>SSL certificado</t>
  </si>
  <si>
    <t>$3.000</t>
  </si>
  <si>
    <t>$36.000</t>
  </si>
  <si>
    <t>$6.840</t>
  </si>
  <si>
    <t>$42.840</t>
  </si>
  <si>
    <t>$89.500</t>
  </si>
  <si>
    <t>$1.074.000</t>
  </si>
  <si>
    <t>$204.060</t>
  </si>
  <si>
    <t>$1.278.060</t>
  </si>
  <si>
    <t>Servicios profesionales</t>
  </si>
  <si>
    <t>Contador/RRHH (part-time)</t>
  </si>
  <si>
    <t>$150.000</t>
  </si>
  <si>
    <t>$1.800.000</t>
  </si>
  <si>
    <t>$342.000</t>
  </si>
  <si>
    <t>$2.142.000</t>
  </si>
  <si>
    <t>Soporte técnico (freelance)</t>
  </si>
  <si>
    <t>$100.000</t>
  </si>
  <si>
    <t>$1.200.000</t>
  </si>
  <si>
    <t>$228.000</t>
  </si>
  <si>
    <t>$1.428.000</t>
  </si>
  <si>
    <t>Subtotal Servicios</t>
  </si>
  <si>
    <t>$250.000</t>
  </si>
  <si>
    <t>$3.000.000</t>
  </si>
  <si>
    <t>$570.000</t>
  </si>
  <si>
    <t>$3.570.000</t>
  </si>
  <si>
    <t>Marketing básico</t>
  </si>
  <si>
    <t>Google Ads</t>
  </si>
  <si>
    <t>$50.000</t>
  </si>
  <si>
    <t>$600.000</t>
  </si>
  <si>
    <t>$114.000</t>
  </si>
  <si>
    <t>$714.000</t>
  </si>
  <si>
    <t>Redes sociales</t>
  </si>
  <si>
    <t>$30.000</t>
  </si>
  <si>
    <t>$360.000</t>
  </si>
  <si>
    <t>$68.400</t>
  </si>
  <si>
    <t>$428.400</t>
  </si>
  <si>
    <t>Subtotal Marketing</t>
  </si>
  <si>
    <t>$80.000</t>
  </si>
  <si>
    <t>$960.000</t>
  </si>
  <si>
    <t>$182.400</t>
  </si>
  <si>
    <t>$1.142.400</t>
  </si>
  <si>
    <t>TOTAL COSTOS FIJOS MENSUALES</t>
  </si>
  <si>
    <t>$419.500</t>
  </si>
  <si>
    <t>$5.034.000</t>
  </si>
  <si>
    <t>$956.460</t>
  </si>
  <si>
    <t>$5.990.460</t>
  </si>
  <si>
    <t>COSTOS VARIABLES (por farmacia cliente)</t>
  </si>
  <si>
    <t>Costo unitario CLP/mes</t>
  </si>
  <si>
    <t>Notas</t>
  </si>
  <si>
    <t>Almacenamiento adicional</t>
  </si>
  <si>
    <t>$500</t>
  </si>
  <si>
    <t>Por cada 10GB extra</t>
  </si>
  <si>
    <t>Procesamiento transacciones</t>
  </si>
  <si>
    <t>$300</t>
  </si>
  <si>
    <t>Overhead cloud</t>
  </si>
  <si>
    <t>Soporte técnico directo</t>
  </si>
  <si>
    <t>$1.000</t>
  </si>
  <si>
    <t>Promedio por cliente/mes</t>
  </si>
  <si>
    <t>Total costo variable</t>
  </si>
  <si>
    <t>$1.800/cliente/mes</t>
  </si>
  <si>
    <t>MODELO DE PRICING</t>
  </si>
  <si>
    <t>Plan</t>
  </si>
  <si>
    <t>Precio mensual (sin IVA)</t>
  </si>
  <si>
    <t>Total CLP</t>
  </si>
  <si>
    <t>Freemium (hasta 50 clientes)</t>
  </si>
  <si>
    <t>Plan Básico (hasta 200 clientes)</t>
  </si>
  <si>
    <t>Plan Pro (hasta 500 clientes)</t>
  </si>
  <si>
    <t>$35.000</t>
  </si>
  <si>
    <t>$6.650</t>
  </si>
  <si>
    <t>$41.650</t>
  </si>
  <si>
    <t>Conversión esperada Freemium → Básico: 20%</t>
  </si>
  <si>
    <t>PROYECCIÓN 12 MESES</t>
  </si>
  <si>
    <t>Mes</t>
  </si>
  <si>
    <t>Conservador</t>
  </si>
  <si>
    <t>Base</t>
  </si>
  <si>
    <t>Optimista</t>
  </si>
  <si>
    <t>Farmacias</t>
  </si>
  <si>
    <t>5 freemium</t>
  </si>
  <si>
    <t>10 (5 free, 5 pago)</t>
  </si>
  <si>
    <t>20 (10 free, 10 pago)</t>
  </si>
  <si>
    <t>8 (6 free, 2 pago)</t>
  </si>
  <si>
    <t>15 (8 free, 7 pago)</t>
  </si>
  <si>
    <t>30 (12 free, 18 pago)</t>
  </si>
  <si>
    <t>12 (8 free, 4 pago)</t>
  </si>
  <si>
    <t>25 (10 free, 15 pago)</t>
  </si>
  <si>
    <t>50 (15 free, 35 pago)</t>
  </si>
  <si>
    <t>15 (10 free, 5 pago)</t>
  </si>
  <si>
    <t>35 (12 free, 23 pago)</t>
  </si>
  <si>
    <t>70 (18 free, 52 pago)</t>
  </si>
  <si>
    <t>18 (12 free, 6 pago)</t>
  </si>
  <si>
    <t>45 (15 free, 30 pago)</t>
  </si>
  <si>
    <t>90 (20 free, 70 pago)</t>
  </si>
  <si>
    <t>22 (14 free, 8 pago)</t>
  </si>
  <si>
    <t>55 (18 free, 37 pago)</t>
  </si>
  <si>
    <t>110 (22 free, 88 pago)</t>
  </si>
  <si>
    <t>26 (16 free, 10 pago)</t>
  </si>
  <si>
    <t>65 (20 free, 45 pago)</t>
  </si>
  <si>
    <t>130 (25 free, 105 pago)</t>
  </si>
  <si>
    <t>30 (18 free, 12 pago)</t>
  </si>
  <si>
    <t>75 (22 free, 53 pago)</t>
  </si>
  <si>
    <t>150 (28 free, 122 pago)</t>
  </si>
  <si>
    <t>34 (20 free, 14 pago)</t>
  </si>
  <si>
    <t>85 (25 free, 60 pago)</t>
  </si>
  <si>
    <t>170 (30 free, 140 pago)</t>
  </si>
  <si>
    <t>38 (22 free, 16 pago)</t>
  </si>
  <si>
    <t>95 (28 free, 67 pago)</t>
  </si>
  <si>
    <t>190 (32 free, 158 pago)</t>
  </si>
  <si>
    <t>42 (24 free, 18 pago)</t>
  </si>
  <si>
    <t>105 (30 free, 75 pago)</t>
  </si>
  <si>
    <t>210 (35 free, 175 pago)</t>
  </si>
  <si>
    <t>50 (28 free, 22 pago)</t>
  </si>
  <si>
    <t>120 (35 free, 85 pago)</t>
  </si>
  <si>
    <t>240 (40 free, 200 pago)</t>
  </si>
  <si>
    <t>INGRESOS ANUALES (CLP)</t>
  </si>
  <si>
    <t>Escenario CONSERVADOR:</t>
  </si>
  <si>
    <t>Promedio farmacias pagando: 12/mes</t>
  </si>
  <si>
    <t>Ingreso mensual promedio: 12 × $18.000 = $216.000</t>
  </si>
  <si>
    <t>Ingreso anual: $216.000 × 12 = $2.592.000</t>
  </si>
  <si>
    <t>Ingreso anual con IVA: $3.084.480</t>
  </si>
  <si>
    <t>Escenario BASE:</t>
  </si>
  <si>
    <t>Promedio farmacias pagando: 50/mes</t>
  </si>
  <si>
    <t>Ingreso mensual promedio: 50 × $18.000 = $900.000</t>
  </si>
  <si>
    <t>Ingreso anual: $900.000 × 12 = $10.800.000</t>
  </si>
  <si>
    <t>Ingreso anual con IVA: $12.852.000</t>
  </si>
  <si>
    <t>Escenario OPTIMISTA:</t>
  </si>
  <si>
    <t>Promedio farmacias pagando: 110/mes</t>
  </si>
  <si>
    <t>Ingreso mensual promedio: 110 × $18.000 = $1.980.000</t>
  </si>
  <si>
    <t>Ingreso anual: $1.980.000 × 12 = $23.760.000</t>
  </si>
  <si>
    <t>Ingreso anual con IVA: $28.274.400</t>
  </si>
  <si>
    <t>CÁLCULO PUNTO DE EQUILIBRIO</t>
  </si>
  <si>
    <t>Costos fijos mensuales: $419.500 CLP</t>
  </si>
  <si>
    <t>Precio por farmacia (sin IVA): $18.000 CLP</t>
  </si>
  <si>
    <t>Costo variable por farmacia: $1.800 CLP</t>
  </si>
  <si>
    <t>Margen contribución: $18.000 - $1.800 = $16.200 CLP</t>
  </si>
  <si>
    <t>Fórmula: PE = Costos Fijos / Margen Contribución</t>
  </si>
  <si>
    <t>PE = $419.500 / $16.200 = 25,9 farmacias</t>
  </si>
  <si>
    <t>PUNTO DE EQUILIBRIO: 26 FARMACIAS PAGANDO</t>
  </si>
  <si>
    <t>ANÁLISIS POR ESCENARIO</t>
  </si>
  <si>
    <t>Escenario</t>
  </si>
  <si>
    <t>Farmacias pagando (mes 12)</t>
  </si>
  <si>
    <t>Break-even alcanzado</t>
  </si>
  <si>
    <t>Margen operativo</t>
  </si>
  <si>
    <t>NO (mes 12)</t>
  </si>
  <si>
    <t>-$64.800/mes</t>
  </si>
  <si>
    <t>SÍ (mes 3)</t>
  </si>
  <si>
    <t>$957.500/mes</t>
  </si>
  <si>
    <t>SÍ (mes 2)</t>
  </si>
  <si>
    <t>$2.820.500/mes</t>
  </si>
  <si>
    <t>PARÁMETROS</t>
  </si>
  <si>
    <t>Inversión inicial: $11.350.000 (desarrollo MVP)</t>
  </si>
  <si>
    <t>Tasa descuento: 12% anual (tasa referencial Chile 2025)</t>
  </si>
  <si>
    <t>Horizonte: 3 años</t>
  </si>
  <si>
    <t>Supuestos:</t>
  </si>
  <si>
    <t>Crecimiento sostenido post año 1</t>
  </si>
  <si>
    <t>Retención clientes: 80%</t>
  </si>
  <si>
    <t>Costos fijos crecen 5% anual (inflación)</t>
  </si>
  <si>
    <t>FLUJO DE CAJA PROYECTADO - ESCENARIO BASE</t>
  </si>
  <si>
    <t>Año</t>
  </si>
  <si>
    <t>Ingresos</t>
  </si>
  <si>
    <t>Costos operacionales</t>
  </si>
  <si>
    <t>Flujo neto</t>
  </si>
  <si>
    <t>Factor descuento</t>
  </si>
  <si>
    <t>Valor presente</t>
  </si>
  <si>
    <t>-$11.350.000</t>
  </si>
  <si>
    <t>$10.800.000</t>
  </si>
  <si>
    <t>$4.809.540</t>
  </si>
  <si>
    <t>$4.294.919</t>
  </si>
  <si>
    <t>$21.600.000</t>
  </si>
  <si>
    <t>$6.289.983</t>
  </si>
  <si>
    <t>$15.310.017</t>
  </si>
  <si>
    <t>$12.202.084</t>
  </si>
  <si>
    <t>$32.400.000</t>
  </si>
  <si>
    <t>$6.604.482</t>
  </si>
  <si>
    <t>$25.795.518</t>
  </si>
  <si>
    <t>$18.366.249</t>
  </si>
  <si>
    <t>VAN (Valor Actual Neto): $23.513.252 CLP</t>
  </si>
  <si>
    <t>TIR (Tasa Interna Retorno): 112% anual</t>
  </si>
  <si>
    <t>ROI Año 1: ($4.809.540 / $11.350.000) × 100 = 42%</t>
  </si>
  <si>
    <t>ROI Año 3: ($45.915.075 / $11.350.000) × 100 = 404%</t>
  </si>
  <si>
    <t>Período de recuperación: 2,4 años (28 meses)</t>
  </si>
  <si>
    <t>COMPARACIÓN ESCENARIOS (Año 3)</t>
  </si>
  <si>
    <t>Métrica</t>
  </si>
  <si>
    <t>VAN</t>
  </si>
  <si>
    <t>-$2.150.000</t>
  </si>
  <si>
    <t>$23.513.252</t>
  </si>
  <si>
    <t>$65.420.000</t>
  </si>
  <si>
    <t>TIR</t>
  </si>
  <si>
    <t>ROI Año 3</t>
  </si>
  <si>
    <t>VARIABLES CRÍTICAS</t>
  </si>
  <si>
    <t>1. Precio por farmacia (±20%)</t>
  </si>
  <si>
    <t>Precio</t>
  </si>
  <si>
    <t>VAN (Base)</t>
  </si>
  <si>
    <t>Variación</t>
  </si>
  <si>
    <t>$14.400 (-20%)</t>
  </si>
  <si>
    <t>$12.850.000</t>
  </si>
  <si>
    <t>$18.000 (actual)</t>
  </si>
  <si>
    <t>$21.600 (+20%)</t>
  </si>
  <si>
    <t>$34.176.504</t>
  </si>
  <si>
    <t>2. Tasa de conversión Freemium → Pago</t>
  </si>
  <si>
    <t>Conversión</t>
  </si>
  <si>
    <t>Farmacias pago año 1</t>
  </si>
  <si>
    <t>$8.450.000</t>
  </si>
  <si>
    <t>20% (actual)</t>
  </si>
  <si>
    <t>$38.576.504</t>
  </si>
  <si>
    <t>3. Costos operacionales (±15%)</t>
  </si>
  <si>
    <t>Costos</t>
  </si>
  <si>
    <t>$5.091.891 (-15%)</t>
  </si>
  <si>
    <t>$27.892.152</t>
  </si>
  <si>
    <t>$5.990.460 (actual)</t>
  </si>
  <si>
    <t>$6.889.029 (+15%)</t>
  </si>
  <si>
    <t>$19.134.352</t>
  </si>
  <si>
    <t>4. Tasa de retención clientes</t>
  </si>
  <si>
    <t>Retención</t>
  </si>
  <si>
    <t>Clientes año 3</t>
  </si>
  <si>
    <t>$10.250.000</t>
  </si>
  <si>
    <t>80% (actual)</t>
  </si>
  <si>
    <t>$29.850.000</t>
  </si>
  <si>
    <t>MATRIZ DE SENSIBILIDAD CRUZADA (VAN)</t>
  </si>
  <si>
    <t>Variables: Precio vs Tasa Conversión</t>
  </si>
  <si>
    <t>Conversión 10%</t>
  </si>
  <si>
    <t>Conversión 20%</t>
  </si>
  <si>
    <t>Conversión 30%</t>
  </si>
  <si>
    <t>Precio $14.400</t>
  </si>
  <si>
    <t>$2.150.000</t>
  </si>
  <si>
    <t>$23.550.000</t>
  </si>
  <si>
    <t>Precio $18.000</t>
  </si>
  <si>
    <t>Precio $21.600</t>
  </si>
  <si>
    <t>$14.750.000</t>
  </si>
  <si>
    <t>$53.603.008</t>
  </si>
  <si>
    <t>IMPUESTOS APLICABLES</t>
  </si>
  <si>
    <t>1. Impuesto al Valor Agregado (IVA)</t>
  </si>
  <si>
    <t>Tasa: 19%</t>
  </si>
  <si>
    <t>Aplicación: Sobre ingresos por ventas SaaS</t>
  </si>
  <si>
    <t>Débito fiscal: $18.000 × 19% = $3.420 por farmacia/mes</t>
  </si>
  <si>
    <t>Crédito fiscal: IVA soportado en gastos ($956.460/año)</t>
  </si>
  <si>
    <t>IVA neto a pagar: Débito - Crédito</t>
  </si>
  <si>
    <t>2. Impuesto Primera Categoría (IDPC)</t>
  </si>
  <si>
    <t>Opción A: Régimen Pro-PYME Transparente (recomendado)</t>
  </si>
  <si>
    <t>Empresa queda EXENTA de IDPC</t>
  </si>
  <si>
    <t>Socios tributan en sus rentas personales (Global Complementario)</t>
  </si>
  <si>
    <t>Ventaja: Flujo de caja más alto en fase inicial</t>
  </si>
  <si>
    <t>Opción B: Régimen Pro-PYME General</t>
  </si>
  <si>
    <t>Tasa: 12,5% transitoria 2025-2027 (luego 25%)</t>
  </si>
  <si>
    <t>Base imponible: Utilidad antes de impuestos</t>
  </si>
  <si>
    <t>Impuesto año 1 (Base): $4.809.540 × 12,5% = $601.193</t>
  </si>
  <si>
    <t>Recomendación: Régimen Transparente para primeros 3 años</t>
  </si>
  <si>
    <t>CÁLCULO EJEMPLO MES 6 (Escenario Base)</t>
  </si>
  <si>
    <t>Monto CLP</t>
  </si>
  <si>
    <t>37 farmacias × $18.000</t>
  </si>
  <si>
    <t>$666.000</t>
  </si>
  <si>
    <t>IVA débito (19%)</t>
  </si>
  <si>
    <t>$126.540</t>
  </si>
  <si>
    <t>Total facturado</t>
  </si>
  <si>
    <t>$792.540</t>
  </si>
  <si>
    <t>Costos con IVA</t>
  </si>
  <si>
    <t>Costos fijos</t>
  </si>
  <si>
    <t>IVA crédito (en costos)</t>
  </si>
  <si>
    <t>$79.705</t>
  </si>
  <si>
    <t>Costos variables (37 × $1.800)</t>
  </si>
  <si>
    <t>$66.600</t>
  </si>
  <si>
    <t>Total costos</t>
  </si>
  <si>
    <t>$486.100</t>
  </si>
  <si>
    <t>IVA a pagar SII</t>
  </si>
  <si>
    <t>IVA débito - IVA crédito</t>
  </si>
  <si>
    <t>$126.540 - $79.705 = $46.835</t>
  </si>
  <si>
    <t>Utilidad operacional (antes impuestos)</t>
  </si>
  <si>
    <t>Ingresos - Costos</t>
  </si>
  <si>
    <t>$666.000 - $486.100 = $179.900</t>
  </si>
  <si>
    <t>IDPC (si aplica Régimen General 12,5%)</t>
  </si>
  <si>
    <t>$22.488</t>
  </si>
  <si>
    <t>Utilidad neta</t>
  </si>
  <si>
    <t>$157.412</t>
  </si>
  <si>
    <t>VIABILIDAD FINANCIERA: VIABLE EN ESCENARIO BASE Y OPTIMISTA</t>
  </si>
  <si>
    <t>Factores Críticos de Éxito:</t>
  </si>
  <si>
    <t>1. Alcanzar 26 farmacias pagando en primeros 4 meses</t>
  </si>
  <si>
    <t>Punto de equilibrio operacional</t>
  </si>
  <si>
    <t>Escenario Base lo logra en mes 3</t>
  </si>
  <si>
    <t>Escenario Conservador NO logra break-even en año 1</t>
  </si>
  <si>
    <t>2. Mantener tasa de conversión Freemium → Pago ≥ 20%</t>
  </si>
  <si>
    <t>Crítico para escalamiento</t>
  </si>
  <si>
    <t>Requiere propuesta de valor clara</t>
  </si>
  <si>
    <t>Testimonios y casos de éxito esenciales</t>
  </si>
  <si>
    <t>3. Retención de clientes ≥ 80%</t>
  </si>
  <si>
    <t>Cada cliente perdido = -$18.000/mes de ingresos</t>
  </si>
  <si>
    <t>Soporte técnico de calidad es inversión, no gasto</t>
  </si>
  <si>
    <t>Onboarding efectivo reduce churn</t>
  </si>
  <si>
    <t>4. Control estricto de costos operacionales</t>
  </si>
  <si>
    <t>Infraestructura cloud optimizada</t>
  </si>
  <si>
    <t>Automatización de procesos</t>
  </si>
  <si>
    <t>Evitar contrataciones prematuras</t>
  </si>
  <si>
    <t>RIESGOS FINANCIEROS</t>
  </si>
  <si>
    <t>Riesgo</t>
  </si>
  <si>
    <t>Probabilidad</t>
  </si>
  <si>
    <t>Impacto</t>
  </si>
  <si>
    <t>Mitigación</t>
  </si>
  <si>
    <t>No alcanzar break-even año 1</t>
  </si>
  <si>
    <t>MEDIA</t>
  </si>
  <si>
    <t>ALTO</t>
  </si>
  <si>
    <t>Modelo freemium + pre-ventas antes de lanzamiento</t>
  </si>
  <si>
    <t>Competencia baja precios</t>
  </si>
  <si>
    <t>MEDIO</t>
  </si>
  <si>
    <t>Diferenciación técnica (MINSAL) + lock-in datos</t>
  </si>
  <si>
    <t>Costos cloud mayores a proyectado</t>
  </si>
  <si>
    <t>BAJA</t>
  </si>
  <si>
    <t>Monitoreo mensual + alertas de costos AWS/GCP</t>
  </si>
  <si>
    <t>Baja conversión freemium</t>
  </si>
  <si>
    <t>ALTA</t>
  </si>
  <si>
    <t>CRÍTICO</t>
  </si>
  <si>
    <t>A/B testing, incentivos early adopters</t>
  </si>
  <si>
    <t>RECOMENDACIONES ESTRATÉGICAS</t>
  </si>
  <si>
    <t>Fase Pre-lanzamiento (3 meses):</t>
  </si>
  <si>
    <t>Conseguir 20 farmacias comprometidas (5 pagando, 15 freemium)</t>
  </si>
  <si>
    <t>Validar willingness to pay con encuestas</t>
  </si>
  <si>
    <t>Setup infraestructura con alertas de costos</t>
  </si>
  <si>
    <t>Fase Lanzamiento (meses 1-6):</t>
  </si>
  <si>
    <t>Objetivo agresivo: 50 farmacias totales (30 pago, 20 free)</t>
  </si>
  <si>
    <t>Inversión marketing: $80.000/mes</t>
  </si>
  <si>
    <t>Métricas clave: CAC &lt; $150.000, LTV &gt; $1.080.000</t>
  </si>
  <si>
    <t>Fase Crecimiento (meses 7-12):</t>
  </si>
  <si>
    <t>Objetivo: 120 farmacias (85 pago, 35 free)</t>
  </si>
  <si>
    <t>Alcanzar VAN positivo</t>
  </si>
  <si>
    <t>Preparar ronda de inversión si escala bien</t>
  </si>
  <si>
    <t>MÉTRICAS FINANCIERAS CLAVE (KPI)</t>
  </si>
  <si>
    <t>KPI</t>
  </si>
  <si>
    <t>Meta Mes 6</t>
  </si>
  <si>
    <t>Meta Mes 12</t>
  </si>
  <si>
    <t>MRR (Monthly Recurring Revenue)</t>
  </si>
  <si>
    <t>$1.530.000</t>
  </si>
  <si>
    <t>Clientes pagando</t>
  </si>
  <si>
    <t>CAC (Customer Acquisition Cost)</t>
  </si>
  <si>
    <t>&lt;$180.000</t>
  </si>
  <si>
    <t>&lt;$150.000</t>
  </si>
  <si>
    <t>LTV (Lifetime Value)</t>
  </si>
  <si>
    <t>&gt;$1.080.000</t>
  </si>
  <si>
    <t>&gt;$1.296.000</t>
  </si>
  <si>
    <t>LTV/CAC Ratio</t>
  </si>
  <si>
    <t>&gt;6:1</t>
  </si>
  <si>
    <t>&gt;8:1</t>
  </si>
  <si>
    <t>Burn Rate</t>
  </si>
  <si>
    <t>-$200.000/mes</t>
  </si>
  <si>
    <t>$500.000/mes</t>
  </si>
  <si>
    <t>Runway (meses sin ingresos)</t>
  </si>
  <si>
    <t>15 meses</t>
  </si>
  <si>
    <t>N/A (cashflow +)</t>
  </si>
  <si>
    <t>FINANCIAMIENTO REQUERIDO</t>
  </si>
  <si>
    <t>Escenario Conservador:</t>
  </si>
  <si>
    <t>Requiere capital adicional: $5.000.000 CLP</t>
  </si>
  <si>
    <t>Para cubrir déficit primeros 12 meses</t>
  </si>
  <si>
    <t>Fuentes: CORFO Startup Chile, Seed capital, bootstrapping</t>
  </si>
  <si>
    <t>Escenario Base:</t>
  </si>
  <si>
    <t>Bootstrappeable sin inversión externa</t>
  </si>
  <si>
    <t>Requiere disciplina en costos</t>
  </si>
  <si>
    <t>Break-even mes 3, flujo positivo desde mes 4</t>
  </si>
  <si>
    <t>Escenario Optimista:</t>
  </si>
  <si>
    <t>No requiere financiamiento</t>
  </si>
  <si>
    <t>Genera caja desde mes 2</t>
  </si>
  <si>
    <t>Reinversión en crecimiento acelerado</t>
  </si>
  <si>
    <t>ANEXO: SUPUESTOS Y REFERENCIAS</t>
  </si>
  <si>
    <t>Supuestos Conservadores Utilizados</t>
  </si>
  <si>
    <t>1. Precio: $18.000/mes (inferior a competencia $30.000-80.000)</t>
  </si>
  <si>
    <t>2. Conversión freemium: 20% (industria SaaS: 25-40%)</t>
  </si>
  <si>
    <t>3. Retención: 80% (industria SaaS B2B: 85-95%)</t>
  </si>
  <si>
    <t>4. Crecimiento: Lineal conservador (realidad puede ser exponencial)</t>
  </si>
  <si>
    <t>5. Costos: Incluyen buffers de 15-20%</t>
  </si>
  <si>
    <t>Fuentes de Datos</t>
  </si>
  <si>
    <t>Salarios Chile 2025:</t>
  </si>
  <si>
    <t>Glassdoor Chile: Desarrollador promedio $1.865.000/mes</t>
  </si>
  <si>
    <t>Indeed Chile: Desarrollador promedio $1.348.255/mes</t>
  </si>
  <si>
    <t>Valor hora utilizado: $10.000-15.000 (conservador)</t>
  </si>
  <si>
    <t>Impuestos Chile 2025:</t>
  </si>
  <si>
    <t>IVA: 19% (Ley sobre IVA)</t>
  </si>
  <si>
    <t>IDPC PYME: 12,5% transitorio (Servicio de Impuestos Internos)</t>
  </si>
  <si>
    <t>Régimen Transparente: Exento IDPC (Proyecto Ley Tributaria 2025)</t>
  </si>
  <si>
    <t>Costos Cloud:</t>
  </si>
  <si>
    <t>AWS Pricing Calculator</t>
  </si>
  <si>
    <t>GCP Pricing Calculator</t>
  </si>
  <si>
    <t>Promedio mercado Chile SaaS startups</t>
  </si>
  <si>
    <t>Benchmarks Industria:</t>
  </si>
  <si>
    <t>Tasas conversión SaaS: SaaS Metrics Report 2024</t>
  </si>
  <si>
    <t>LTV/CAC ratios: Pacific Crest SaaS Survey</t>
  </si>
  <si>
    <t>Retención clientes B2B: ChartMogul SaaS Benchmarks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</si>
</sst>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sz val="14.0"/>
      <color theme="1"/>
      <name val="Arial"/>
      <scheme val="minor"/>
    </font>
    <font>
      <color theme="1"/>
      <name val="Arial"/>
      <scheme val="minor"/>
    </font>
    <font>
      <b/>
      <sz val="18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0" fontId="1" numFmtId="0" xfId="0" applyAlignment="1" applyBorder="1" applyFont="1">
      <alignment readingOrder="0"/>
    </xf>
    <xf borderId="1" fillId="0" fontId="1" numFmtId="0" xfId="0" applyBorder="1" applyFont="1"/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1" fillId="0" fontId="1" numFmtId="0" xfId="0" applyAlignment="1" applyBorder="1" applyFont="1">
      <alignment horizontal="center"/>
    </xf>
    <xf borderId="1" fillId="0" fontId="2" numFmtId="0" xfId="0" applyAlignment="1" applyBorder="1" applyFont="1">
      <alignment horizontal="center" readingOrder="0"/>
    </xf>
    <xf borderId="0" fillId="0" fontId="2" numFmtId="0" xfId="0" applyFont="1"/>
    <xf borderId="1" fillId="0" fontId="2" numFmtId="0" xfId="0" applyAlignment="1" applyBorder="1" applyFont="1">
      <alignment horizontal="right" readingOrder="0"/>
    </xf>
    <xf borderId="1" fillId="0" fontId="2" numFmtId="9" xfId="0" applyAlignment="1" applyBorder="1" applyFont="1" applyNumberFormat="1">
      <alignment readingOrder="0"/>
    </xf>
    <xf borderId="1" fillId="0" fontId="2" numFmtId="9" xfId="0" applyAlignment="1" applyBorder="1" applyFont="1" applyNumberFormat="1">
      <alignment horizontal="right" readingOrder="0"/>
    </xf>
    <xf borderId="1" fillId="0" fontId="2" numFmtId="0" xfId="0" applyAlignment="1" applyBorder="1" applyFont="1">
      <alignment horizontal="right"/>
    </xf>
    <xf borderId="1" fillId="0" fontId="2" numFmtId="9" xfId="0" applyAlignment="1" applyBorder="1" applyFont="1" applyNumberFormat="1">
      <alignment horizontal="center"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1.75"/>
    <col customWidth="1" min="2" max="2" width="11.88"/>
    <col customWidth="1" min="3" max="3" width="16.13"/>
    <col customWidth="1" min="4" max="4" width="15.63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</row>
    <row r="3">
      <c r="A3" s="3" t="s">
        <v>5</v>
      </c>
      <c r="B3" s="4"/>
      <c r="C3" s="4"/>
      <c r="D3" s="4"/>
    </row>
    <row r="4">
      <c r="A4" s="3" t="s">
        <v>6</v>
      </c>
      <c r="B4" s="3" t="s">
        <v>7</v>
      </c>
      <c r="C4" s="3" t="s">
        <v>8</v>
      </c>
      <c r="D4" s="3" t="s">
        <v>9</v>
      </c>
    </row>
    <row r="5">
      <c r="A5" s="3" t="s">
        <v>10</v>
      </c>
      <c r="B5" s="3" t="s">
        <v>11</v>
      </c>
      <c r="C5" s="3" t="s">
        <v>12</v>
      </c>
      <c r="D5" s="3" t="s">
        <v>13</v>
      </c>
    </row>
    <row r="6">
      <c r="A6" s="3" t="s">
        <v>14</v>
      </c>
      <c r="B6" s="3" t="s">
        <v>15</v>
      </c>
      <c r="C6" s="3" t="s">
        <v>16</v>
      </c>
      <c r="D6" s="3" t="s">
        <v>17</v>
      </c>
    </row>
    <row r="7">
      <c r="A7" s="5" t="s">
        <v>18</v>
      </c>
      <c r="B7" s="6"/>
      <c r="C7" s="6"/>
      <c r="D7" s="5" t="s">
        <v>19</v>
      </c>
    </row>
    <row r="8">
      <c r="A8" s="7"/>
      <c r="B8" s="7"/>
      <c r="C8" s="7"/>
      <c r="D8" s="7"/>
    </row>
    <row r="9">
      <c r="A9" s="5" t="s">
        <v>20</v>
      </c>
      <c r="B9" s="6"/>
      <c r="C9" s="6"/>
      <c r="D9" s="6"/>
    </row>
    <row r="10">
      <c r="A10" s="3" t="s">
        <v>21</v>
      </c>
      <c r="B10" s="3" t="s">
        <v>22</v>
      </c>
      <c r="C10" s="3" t="s">
        <v>23</v>
      </c>
      <c r="D10" s="3" t="s">
        <v>23</v>
      </c>
    </row>
    <row r="11">
      <c r="A11" s="3" t="s">
        <v>24</v>
      </c>
      <c r="B11" s="3">
        <v>1.0</v>
      </c>
      <c r="C11" s="3" t="s">
        <v>23</v>
      </c>
      <c r="D11" s="3" t="s">
        <v>23</v>
      </c>
    </row>
    <row r="12">
      <c r="A12" s="3" t="s">
        <v>25</v>
      </c>
      <c r="B12" s="3" t="s">
        <v>26</v>
      </c>
      <c r="C12" s="3" t="s">
        <v>23</v>
      </c>
      <c r="D12" s="3" t="s">
        <v>23</v>
      </c>
    </row>
    <row r="13">
      <c r="A13" s="3" t="s">
        <v>27</v>
      </c>
      <c r="B13" s="4"/>
      <c r="C13" s="4"/>
      <c r="D13" s="3" t="s">
        <v>23</v>
      </c>
    </row>
    <row r="14">
      <c r="A14" s="6"/>
      <c r="B14" s="6"/>
      <c r="C14" s="6"/>
      <c r="D14" s="6"/>
    </row>
    <row r="15">
      <c r="A15" s="5" t="s">
        <v>28</v>
      </c>
      <c r="B15" s="6"/>
      <c r="C15" s="6"/>
      <c r="D15" s="5" t="s">
        <v>19</v>
      </c>
    </row>
    <row r="16">
      <c r="A16" s="7"/>
    </row>
    <row r="17">
      <c r="A17" s="1" t="s">
        <v>29</v>
      </c>
    </row>
    <row r="18">
      <c r="A18" s="7"/>
    </row>
    <row r="19">
      <c r="A19" s="8" t="s">
        <v>30</v>
      </c>
    </row>
    <row r="20">
      <c r="A20" s="8" t="s">
        <v>31</v>
      </c>
    </row>
    <row r="21">
      <c r="A21" s="8" t="s">
        <v>32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9.0"/>
    <col customWidth="1" min="2" max="2" width="27.5"/>
    <col customWidth="1" min="3" max="3" width="29.5"/>
    <col customWidth="1" min="4" max="4" width="10.75"/>
    <col customWidth="1" min="5" max="5" width="15.5"/>
  </cols>
  <sheetData>
    <row r="1">
      <c r="A1" s="9" t="s">
        <v>33</v>
      </c>
      <c r="B1" s="10"/>
      <c r="C1" s="10"/>
      <c r="D1" s="10"/>
      <c r="E1" s="10"/>
    </row>
    <row r="2">
      <c r="A2" s="10" t="s">
        <v>34</v>
      </c>
    </row>
    <row r="3">
      <c r="A3" s="2" t="s">
        <v>1</v>
      </c>
      <c r="B3" s="2" t="s">
        <v>35</v>
      </c>
      <c r="C3" s="2" t="s">
        <v>36</v>
      </c>
      <c r="D3" s="2" t="s">
        <v>37</v>
      </c>
      <c r="E3" s="2" t="s">
        <v>38</v>
      </c>
    </row>
    <row r="4">
      <c r="A4" s="5" t="s">
        <v>39</v>
      </c>
      <c r="B4" s="6"/>
      <c r="C4" s="6"/>
      <c r="D4" s="6"/>
      <c r="E4" s="6"/>
    </row>
    <row r="5">
      <c r="A5" s="3" t="s">
        <v>40</v>
      </c>
      <c r="B5" s="3" t="s">
        <v>41</v>
      </c>
      <c r="C5" s="3" t="s">
        <v>42</v>
      </c>
      <c r="D5" s="3" t="s">
        <v>43</v>
      </c>
      <c r="E5" s="3" t="s">
        <v>44</v>
      </c>
    </row>
    <row r="6">
      <c r="A6" s="3" t="s">
        <v>45</v>
      </c>
      <c r="B6" s="3" t="s">
        <v>46</v>
      </c>
      <c r="C6" s="3" t="s">
        <v>47</v>
      </c>
      <c r="D6" s="3" t="s">
        <v>48</v>
      </c>
      <c r="E6" s="3" t="s">
        <v>49</v>
      </c>
    </row>
    <row r="7">
      <c r="A7" s="3" t="s">
        <v>50</v>
      </c>
      <c r="B7" s="3" t="s">
        <v>51</v>
      </c>
      <c r="C7" s="3" t="s">
        <v>52</v>
      </c>
      <c r="D7" s="3" t="s">
        <v>53</v>
      </c>
      <c r="E7" s="3" t="s">
        <v>54</v>
      </c>
    </row>
    <row r="8">
      <c r="A8" s="3" t="s">
        <v>55</v>
      </c>
      <c r="B8" s="3" t="s">
        <v>56</v>
      </c>
      <c r="C8" s="3" t="s">
        <v>57</v>
      </c>
      <c r="D8" s="3" t="s">
        <v>58</v>
      </c>
      <c r="E8" s="3" t="s">
        <v>59</v>
      </c>
    </row>
    <row r="9">
      <c r="A9" s="3" t="s">
        <v>60</v>
      </c>
      <c r="B9" s="3" t="s">
        <v>61</v>
      </c>
      <c r="C9" s="3" t="s">
        <v>62</v>
      </c>
      <c r="D9" s="3" t="s">
        <v>63</v>
      </c>
      <c r="E9" s="3" t="s">
        <v>64</v>
      </c>
    </row>
    <row r="10">
      <c r="A10" s="5" t="s">
        <v>27</v>
      </c>
      <c r="B10" s="5" t="s">
        <v>65</v>
      </c>
      <c r="C10" s="5" t="s">
        <v>66</v>
      </c>
      <c r="D10" s="5" t="s">
        <v>67</v>
      </c>
      <c r="E10" s="5" t="s">
        <v>68</v>
      </c>
    </row>
    <row r="11">
      <c r="A11" s="7"/>
      <c r="B11" s="7"/>
      <c r="C11" s="7"/>
      <c r="D11" s="7"/>
      <c r="E11" s="7"/>
    </row>
    <row r="12">
      <c r="A12" s="5" t="s">
        <v>69</v>
      </c>
      <c r="B12" s="6"/>
      <c r="C12" s="6"/>
      <c r="D12" s="6"/>
      <c r="E12" s="6"/>
    </row>
    <row r="13">
      <c r="A13" s="3" t="s">
        <v>70</v>
      </c>
      <c r="B13" s="3" t="s">
        <v>71</v>
      </c>
      <c r="C13" s="3" t="s">
        <v>72</v>
      </c>
      <c r="D13" s="3" t="s">
        <v>73</v>
      </c>
      <c r="E13" s="3" t="s">
        <v>74</v>
      </c>
    </row>
    <row r="14">
      <c r="A14" s="3" t="s">
        <v>75</v>
      </c>
      <c r="B14" s="3" t="s">
        <v>76</v>
      </c>
      <c r="C14" s="3" t="s">
        <v>77</v>
      </c>
      <c r="D14" s="3" t="s">
        <v>78</v>
      </c>
      <c r="E14" s="3" t="s">
        <v>79</v>
      </c>
    </row>
    <row r="15">
      <c r="A15" s="5" t="s">
        <v>80</v>
      </c>
      <c r="B15" s="5" t="s">
        <v>81</v>
      </c>
      <c r="C15" s="5" t="s">
        <v>82</v>
      </c>
      <c r="D15" s="5" t="s">
        <v>83</v>
      </c>
      <c r="E15" s="5" t="s">
        <v>84</v>
      </c>
    </row>
    <row r="16">
      <c r="A16" s="7"/>
      <c r="B16" s="7"/>
      <c r="C16" s="7"/>
      <c r="D16" s="7"/>
      <c r="E16" s="7"/>
    </row>
    <row r="17">
      <c r="A17" s="5" t="s">
        <v>85</v>
      </c>
      <c r="B17" s="6"/>
      <c r="C17" s="6"/>
      <c r="D17" s="6"/>
      <c r="E17" s="6"/>
    </row>
    <row r="18">
      <c r="A18" s="3" t="s">
        <v>86</v>
      </c>
      <c r="B18" s="3" t="s">
        <v>87</v>
      </c>
      <c r="C18" s="3" t="s">
        <v>88</v>
      </c>
      <c r="D18" s="3" t="s">
        <v>89</v>
      </c>
      <c r="E18" s="3" t="s">
        <v>90</v>
      </c>
    </row>
    <row r="19">
      <c r="A19" s="3" t="s">
        <v>91</v>
      </c>
      <c r="B19" s="3" t="s">
        <v>92</v>
      </c>
      <c r="C19" s="3" t="s">
        <v>93</v>
      </c>
      <c r="D19" s="3" t="s">
        <v>94</v>
      </c>
      <c r="E19" s="3" t="s">
        <v>95</v>
      </c>
    </row>
    <row r="20">
      <c r="A20" s="5" t="s">
        <v>96</v>
      </c>
      <c r="B20" s="5" t="s">
        <v>97</v>
      </c>
      <c r="C20" s="5" t="s">
        <v>98</v>
      </c>
      <c r="D20" s="5" t="s">
        <v>99</v>
      </c>
      <c r="E20" s="5" t="s">
        <v>100</v>
      </c>
    </row>
    <row r="21">
      <c r="A21" s="7"/>
      <c r="B21" s="7"/>
      <c r="C21" s="7"/>
      <c r="D21" s="7"/>
      <c r="E21" s="7"/>
    </row>
    <row r="22">
      <c r="A22" s="5" t="s">
        <v>101</v>
      </c>
      <c r="B22" s="5" t="s">
        <v>102</v>
      </c>
      <c r="C22" s="5" t="s">
        <v>103</v>
      </c>
      <c r="D22" s="5" t="s">
        <v>104</v>
      </c>
      <c r="E22" s="5" t="s">
        <v>105</v>
      </c>
    </row>
    <row r="23">
      <c r="A23" s="1"/>
    </row>
    <row r="24">
      <c r="A24" s="1" t="s">
        <v>106</v>
      </c>
    </row>
    <row r="25">
      <c r="A25" s="2" t="s">
        <v>1</v>
      </c>
      <c r="B25" s="2" t="s">
        <v>107</v>
      </c>
      <c r="C25" s="2" t="s">
        <v>108</v>
      </c>
    </row>
    <row r="26">
      <c r="A26" s="3" t="s">
        <v>109</v>
      </c>
      <c r="B26" s="3" t="s">
        <v>110</v>
      </c>
      <c r="C26" s="3" t="s">
        <v>111</v>
      </c>
    </row>
    <row r="27">
      <c r="A27" s="3" t="s">
        <v>112</v>
      </c>
      <c r="B27" s="3" t="s">
        <v>113</v>
      </c>
      <c r="C27" s="3" t="s">
        <v>114</v>
      </c>
    </row>
    <row r="28">
      <c r="A28" s="3" t="s">
        <v>115</v>
      </c>
      <c r="B28" s="3" t="s">
        <v>116</v>
      </c>
      <c r="C28" s="3" t="s">
        <v>117</v>
      </c>
    </row>
    <row r="29">
      <c r="A29" s="5" t="s">
        <v>118</v>
      </c>
      <c r="B29" s="5" t="s">
        <v>119</v>
      </c>
      <c r="C29" s="6"/>
    </row>
  </sheetData>
  <mergeCells count="1">
    <mergeCell ref="A2:E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1.38"/>
    <col customWidth="1" min="2" max="2" width="28.13"/>
    <col customWidth="1" min="3" max="3" width="24.75"/>
    <col customWidth="1" min="4" max="4" width="26.0"/>
  </cols>
  <sheetData>
    <row r="1">
      <c r="A1" s="1" t="s">
        <v>120</v>
      </c>
    </row>
    <row r="2">
      <c r="A2" s="2" t="s">
        <v>121</v>
      </c>
      <c r="B2" s="2" t="s">
        <v>122</v>
      </c>
      <c r="C2" s="2" t="s">
        <v>37</v>
      </c>
      <c r="D2" s="2" t="s">
        <v>123</v>
      </c>
    </row>
    <row r="3">
      <c r="A3" s="3" t="s">
        <v>124</v>
      </c>
      <c r="B3" s="3" t="s">
        <v>23</v>
      </c>
      <c r="C3" s="3" t="s">
        <v>23</v>
      </c>
      <c r="D3" s="3" t="s">
        <v>23</v>
      </c>
    </row>
    <row r="4">
      <c r="A4" s="3" t="s">
        <v>125</v>
      </c>
      <c r="B4" s="3" t="s">
        <v>57</v>
      </c>
      <c r="C4" s="3" t="s">
        <v>58</v>
      </c>
      <c r="D4" s="3" t="s">
        <v>59</v>
      </c>
    </row>
    <row r="5">
      <c r="A5" s="3" t="s">
        <v>126</v>
      </c>
      <c r="B5" s="3" t="s">
        <v>127</v>
      </c>
      <c r="C5" s="3" t="s">
        <v>128</v>
      </c>
      <c r="D5" s="3" t="s">
        <v>129</v>
      </c>
    </row>
    <row r="6">
      <c r="A6" s="7"/>
    </row>
    <row r="7">
      <c r="A7" s="1" t="s">
        <v>130</v>
      </c>
    </row>
    <row r="8">
      <c r="A8" s="7"/>
    </row>
    <row r="9">
      <c r="A9" s="1" t="s">
        <v>131</v>
      </c>
    </row>
    <row r="10">
      <c r="A10" s="2" t="s">
        <v>132</v>
      </c>
      <c r="B10" s="2" t="s">
        <v>133</v>
      </c>
      <c r="C10" s="2" t="s">
        <v>134</v>
      </c>
      <c r="D10" s="2" t="s">
        <v>135</v>
      </c>
    </row>
    <row r="11">
      <c r="A11" s="11"/>
      <c r="B11" s="5" t="s">
        <v>136</v>
      </c>
      <c r="C11" s="5" t="s">
        <v>136</v>
      </c>
      <c r="D11" s="5" t="s">
        <v>136</v>
      </c>
    </row>
    <row r="12">
      <c r="A12" s="12">
        <v>1.0</v>
      </c>
      <c r="B12" s="3" t="s">
        <v>137</v>
      </c>
      <c r="C12" s="3" t="s">
        <v>138</v>
      </c>
      <c r="D12" s="3" t="s">
        <v>139</v>
      </c>
    </row>
    <row r="13">
      <c r="A13" s="12">
        <v>2.0</v>
      </c>
      <c r="B13" s="3" t="s">
        <v>140</v>
      </c>
      <c r="C13" s="3" t="s">
        <v>141</v>
      </c>
      <c r="D13" s="3" t="s">
        <v>142</v>
      </c>
    </row>
    <row r="14">
      <c r="A14" s="12">
        <v>3.0</v>
      </c>
      <c r="B14" s="3" t="s">
        <v>143</v>
      </c>
      <c r="C14" s="3" t="s">
        <v>144</v>
      </c>
      <c r="D14" s="3" t="s">
        <v>145</v>
      </c>
    </row>
    <row r="15">
      <c r="A15" s="12">
        <v>4.0</v>
      </c>
      <c r="B15" s="3" t="s">
        <v>146</v>
      </c>
      <c r="C15" s="3" t="s">
        <v>147</v>
      </c>
      <c r="D15" s="3" t="s">
        <v>148</v>
      </c>
    </row>
    <row r="16">
      <c r="A16" s="12">
        <v>5.0</v>
      </c>
      <c r="B16" s="3" t="s">
        <v>149</v>
      </c>
      <c r="C16" s="3" t="s">
        <v>150</v>
      </c>
      <c r="D16" s="3" t="s">
        <v>151</v>
      </c>
    </row>
    <row r="17">
      <c r="A17" s="12">
        <v>6.0</v>
      </c>
      <c r="B17" s="3" t="s">
        <v>152</v>
      </c>
      <c r="C17" s="3" t="s">
        <v>153</v>
      </c>
      <c r="D17" s="3" t="s">
        <v>154</v>
      </c>
    </row>
    <row r="18">
      <c r="A18" s="12">
        <v>7.0</v>
      </c>
      <c r="B18" s="3" t="s">
        <v>155</v>
      </c>
      <c r="C18" s="3" t="s">
        <v>156</v>
      </c>
      <c r="D18" s="3" t="s">
        <v>157</v>
      </c>
    </row>
    <row r="19">
      <c r="A19" s="12">
        <v>8.0</v>
      </c>
      <c r="B19" s="3" t="s">
        <v>158</v>
      </c>
      <c r="C19" s="3" t="s">
        <v>159</v>
      </c>
      <c r="D19" s="3" t="s">
        <v>160</v>
      </c>
    </row>
    <row r="20">
      <c r="A20" s="12">
        <v>9.0</v>
      </c>
      <c r="B20" s="3" t="s">
        <v>161</v>
      </c>
      <c r="C20" s="3" t="s">
        <v>162</v>
      </c>
      <c r="D20" s="3" t="s">
        <v>163</v>
      </c>
    </row>
    <row r="21">
      <c r="A21" s="12">
        <v>10.0</v>
      </c>
      <c r="B21" s="3" t="s">
        <v>164</v>
      </c>
      <c r="C21" s="3" t="s">
        <v>165</v>
      </c>
      <c r="D21" s="3" t="s">
        <v>166</v>
      </c>
    </row>
    <row r="22">
      <c r="A22" s="12">
        <v>11.0</v>
      </c>
      <c r="B22" s="3" t="s">
        <v>167</v>
      </c>
      <c r="C22" s="3" t="s">
        <v>168</v>
      </c>
      <c r="D22" s="3" t="s">
        <v>169</v>
      </c>
    </row>
    <row r="23">
      <c r="A23" s="12">
        <v>12.0</v>
      </c>
      <c r="B23" s="3" t="s">
        <v>170</v>
      </c>
      <c r="C23" s="3" t="s">
        <v>171</v>
      </c>
      <c r="D23" s="3" t="s">
        <v>172</v>
      </c>
    </row>
    <row r="24">
      <c r="A24" s="1"/>
    </row>
    <row r="25">
      <c r="A25" s="1" t="s">
        <v>173</v>
      </c>
    </row>
    <row r="26">
      <c r="A26" s="7"/>
    </row>
    <row r="27">
      <c r="A27" s="1" t="s">
        <v>174</v>
      </c>
    </row>
    <row r="28">
      <c r="A28" s="7"/>
    </row>
    <row r="29">
      <c r="A29" s="8" t="s">
        <v>175</v>
      </c>
    </row>
    <row r="30">
      <c r="A30" s="8" t="s">
        <v>176</v>
      </c>
    </row>
    <row r="31">
      <c r="A31" s="8" t="s">
        <v>177</v>
      </c>
    </row>
    <row r="32">
      <c r="A32" s="8" t="s">
        <v>178</v>
      </c>
    </row>
    <row r="33">
      <c r="A33" s="7"/>
    </row>
    <row r="34">
      <c r="A34" s="1" t="s">
        <v>179</v>
      </c>
    </row>
    <row r="35">
      <c r="A35" s="7"/>
    </row>
    <row r="36">
      <c r="A36" s="8" t="s">
        <v>180</v>
      </c>
    </row>
    <row r="37">
      <c r="A37" s="8" t="s">
        <v>181</v>
      </c>
    </row>
    <row r="38">
      <c r="A38" s="8" t="s">
        <v>182</v>
      </c>
    </row>
    <row r="39">
      <c r="A39" s="8" t="s">
        <v>183</v>
      </c>
    </row>
    <row r="40">
      <c r="A40" s="7"/>
    </row>
    <row r="41">
      <c r="A41" s="1" t="s">
        <v>184</v>
      </c>
    </row>
    <row r="42">
      <c r="A42" s="7"/>
    </row>
    <row r="43">
      <c r="A43" s="8" t="s">
        <v>185</v>
      </c>
    </row>
    <row r="44">
      <c r="A44" s="8" t="s">
        <v>186</v>
      </c>
    </row>
    <row r="45">
      <c r="A45" s="8" t="s">
        <v>187</v>
      </c>
    </row>
    <row r="46">
      <c r="A46" s="8" t="s">
        <v>188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9.5"/>
    <col customWidth="1" min="2" max="2" width="33.0"/>
    <col customWidth="1" min="3" max="3" width="25.5"/>
    <col customWidth="1" min="4" max="4" width="20.5"/>
  </cols>
  <sheetData>
    <row r="1">
      <c r="A1" s="1" t="s">
        <v>189</v>
      </c>
    </row>
    <row r="2">
      <c r="A2" s="7"/>
    </row>
    <row r="3">
      <c r="A3" s="8" t="s">
        <v>190</v>
      </c>
    </row>
    <row r="4">
      <c r="A4" s="8" t="s">
        <v>191</v>
      </c>
    </row>
    <row r="5">
      <c r="A5" s="8" t="s">
        <v>192</v>
      </c>
    </row>
    <row r="6">
      <c r="A6" s="8" t="s">
        <v>193</v>
      </c>
    </row>
    <row r="7">
      <c r="A7" s="7"/>
    </row>
    <row r="8">
      <c r="A8" s="8" t="s">
        <v>194</v>
      </c>
    </row>
    <row r="9">
      <c r="A9" s="13"/>
    </row>
    <row r="10">
      <c r="A10" s="8" t="s">
        <v>195</v>
      </c>
    </row>
    <row r="11">
      <c r="A11" s="7"/>
    </row>
    <row r="12">
      <c r="A12" s="1" t="s">
        <v>196</v>
      </c>
    </row>
    <row r="13">
      <c r="A13" s="7"/>
    </row>
    <row r="14">
      <c r="A14" s="1" t="s">
        <v>197</v>
      </c>
    </row>
    <row r="15">
      <c r="A15" s="2" t="s">
        <v>198</v>
      </c>
      <c r="B15" s="2" t="s">
        <v>199</v>
      </c>
      <c r="C15" s="2" t="s">
        <v>200</v>
      </c>
      <c r="D15" s="2" t="s">
        <v>201</v>
      </c>
    </row>
    <row r="16">
      <c r="A16" s="3" t="s">
        <v>133</v>
      </c>
      <c r="B16" s="12">
        <v>22.0</v>
      </c>
      <c r="C16" s="3" t="s">
        <v>202</v>
      </c>
      <c r="D16" s="3" t="s">
        <v>203</v>
      </c>
    </row>
    <row r="17">
      <c r="A17" s="3" t="s">
        <v>134</v>
      </c>
      <c r="B17" s="12">
        <v>85.0</v>
      </c>
      <c r="C17" s="3" t="s">
        <v>204</v>
      </c>
      <c r="D17" s="3" t="s">
        <v>205</v>
      </c>
    </row>
    <row r="18">
      <c r="A18" s="3" t="s">
        <v>135</v>
      </c>
      <c r="B18" s="12">
        <v>200.0</v>
      </c>
      <c r="C18" s="3" t="s">
        <v>206</v>
      </c>
      <c r="D18" s="3" t="s">
        <v>207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2.75"/>
    <col customWidth="1" min="2" max="2" width="15.38"/>
    <col customWidth="1" min="3" max="3" width="25.25"/>
    <col customWidth="1" min="4" max="4" width="14.63"/>
    <col customWidth="1" min="5" max="5" width="20.5"/>
    <col customWidth="1" min="6" max="6" width="17.13"/>
  </cols>
  <sheetData>
    <row r="1">
      <c r="A1" s="1" t="s">
        <v>208</v>
      </c>
    </row>
    <row r="2">
      <c r="A2" s="8" t="s">
        <v>209</v>
      </c>
    </row>
    <row r="3">
      <c r="A3" s="8" t="s">
        <v>210</v>
      </c>
    </row>
    <row r="4">
      <c r="A4" s="8" t="s">
        <v>211</v>
      </c>
    </row>
    <row r="5">
      <c r="A5" s="1" t="s">
        <v>212</v>
      </c>
    </row>
    <row r="6">
      <c r="A6" s="8" t="s">
        <v>213</v>
      </c>
    </row>
    <row r="7">
      <c r="A7" s="8" t="s">
        <v>214</v>
      </c>
    </row>
    <row r="8">
      <c r="A8" s="8" t="s">
        <v>215</v>
      </c>
    </row>
    <row r="9">
      <c r="A9" s="8"/>
    </row>
    <row r="10">
      <c r="A10" s="1" t="s">
        <v>216</v>
      </c>
    </row>
    <row r="11">
      <c r="A11" s="2" t="s">
        <v>217</v>
      </c>
      <c r="B11" s="2" t="s">
        <v>218</v>
      </c>
      <c r="C11" s="2" t="s">
        <v>219</v>
      </c>
      <c r="D11" s="2" t="s">
        <v>220</v>
      </c>
      <c r="E11" s="2" t="s">
        <v>221</v>
      </c>
      <c r="F11" s="2" t="s">
        <v>222</v>
      </c>
    </row>
    <row r="12">
      <c r="A12" s="12">
        <v>0.0</v>
      </c>
      <c r="B12" s="14" t="s">
        <v>23</v>
      </c>
      <c r="C12" s="14" t="s">
        <v>19</v>
      </c>
      <c r="D12" s="14" t="s">
        <v>223</v>
      </c>
      <c r="E12" s="14">
        <v>1.0</v>
      </c>
      <c r="F12" s="14" t="s">
        <v>223</v>
      </c>
    </row>
    <row r="13">
      <c r="A13" s="12">
        <v>1.0</v>
      </c>
      <c r="B13" s="14" t="s">
        <v>224</v>
      </c>
      <c r="C13" s="14" t="s">
        <v>105</v>
      </c>
      <c r="D13" s="14" t="s">
        <v>225</v>
      </c>
      <c r="E13" s="14">
        <v>0.893</v>
      </c>
      <c r="F13" s="14" t="s">
        <v>226</v>
      </c>
    </row>
    <row r="14">
      <c r="A14" s="12">
        <v>2.0</v>
      </c>
      <c r="B14" s="14" t="s">
        <v>227</v>
      </c>
      <c r="C14" s="14" t="s">
        <v>228</v>
      </c>
      <c r="D14" s="14" t="s">
        <v>229</v>
      </c>
      <c r="E14" s="14">
        <v>0.797</v>
      </c>
      <c r="F14" s="14" t="s">
        <v>230</v>
      </c>
    </row>
    <row r="15">
      <c r="A15" s="12">
        <v>3.0</v>
      </c>
      <c r="B15" s="14" t="s">
        <v>231</v>
      </c>
      <c r="C15" s="14" t="s">
        <v>232</v>
      </c>
      <c r="D15" s="14" t="s">
        <v>233</v>
      </c>
      <c r="E15" s="14">
        <v>0.712</v>
      </c>
      <c r="F15" s="14" t="s">
        <v>234</v>
      </c>
    </row>
    <row r="16">
      <c r="A16" s="7"/>
    </row>
    <row r="17">
      <c r="A17" s="8" t="s">
        <v>235</v>
      </c>
    </row>
    <row r="18">
      <c r="A18" s="13"/>
    </row>
    <row r="19">
      <c r="A19" s="8" t="s">
        <v>236</v>
      </c>
    </row>
    <row r="20">
      <c r="A20" s="13"/>
    </row>
    <row r="21">
      <c r="A21" s="8" t="s">
        <v>237</v>
      </c>
    </row>
    <row r="22">
      <c r="A22" s="13"/>
    </row>
    <row r="23">
      <c r="A23" s="8" t="s">
        <v>238</v>
      </c>
    </row>
    <row r="24">
      <c r="A24" s="13"/>
    </row>
    <row r="25">
      <c r="A25" s="8" t="s">
        <v>239</v>
      </c>
    </row>
    <row r="26">
      <c r="A26" s="7"/>
    </row>
    <row r="27">
      <c r="A27" s="1" t="s">
        <v>240</v>
      </c>
    </row>
    <row r="28">
      <c r="A28" s="2" t="s">
        <v>241</v>
      </c>
      <c r="B28" s="2" t="s">
        <v>133</v>
      </c>
      <c r="C28" s="2" t="s">
        <v>134</v>
      </c>
      <c r="D28" s="2" t="s">
        <v>135</v>
      </c>
    </row>
    <row r="29">
      <c r="A29" s="3" t="s">
        <v>242</v>
      </c>
      <c r="B29" s="3" t="s">
        <v>243</v>
      </c>
      <c r="C29" s="3" t="s">
        <v>244</v>
      </c>
      <c r="D29" s="3" t="s">
        <v>245</v>
      </c>
    </row>
    <row r="30">
      <c r="A30" s="3" t="s">
        <v>246</v>
      </c>
      <c r="B30" s="15">
        <v>-0.08</v>
      </c>
      <c r="C30" s="15">
        <v>1.12</v>
      </c>
      <c r="D30" s="15">
        <v>1.98</v>
      </c>
    </row>
    <row r="31">
      <c r="A31" s="3" t="s">
        <v>247</v>
      </c>
      <c r="B31" s="15">
        <v>-0.19</v>
      </c>
      <c r="C31" s="15">
        <v>4.04</v>
      </c>
      <c r="D31" s="15">
        <v>5.76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9.75"/>
    <col customWidth="1" min="2" max="2" width="25.5"/>
    <col customWidth="1" min="3" max="4" width="19.13"/>
  </cols>
  <sheetData>
    <row r="1">
      <c r="A1" s="1" t="s">
        <v>248</v>
      </c>
    </row>
    <row r="2">
      <c r="A2" s="7"/>
    </row>
    <row r="3">
      <c r="A3" s="1" t="s">
        <v>249</v>
      </c>
    </row>
    <row r="4">
      <c r="A4" s="7"/>
    </row>
    <row r="5">
      <c r="A5" s="2" t="s">
        <v>250</v>
      </c>
      <c r="B5" s="2" t="s">
        <v>251</v>
      </c>
      <c r="C5" s="2" t="s">
        <v>252</v>
      </c>
    </row>
    <row r="6">
      <c r="A6" s="12" t="s">
        <v>253</v>
      </c>
      <c r="B6" s="14" t="s">
        <v>254</v>
      </c>
      <c r="C6" s="16">
        <v>-0.45</v>
      </c>
    </row>
    <row r="7">
      <c r="A7" s="12" t="s">
        <v>255</v>
      </c>
      <c r="B7" s="14" t="s">
        <v>244</v>
      </c>
      <c r="C7" s="16">
        <v>0.0</v>
      </c>
    </row>
    <row r="8">
      <c r="A8" s="12" t="s">
        <v>256</v>
      </c>
      <c r="B8" s="14" t="s">
        <v>257</v>
      </c>
      <c r="C8" s="17">
        <f>+45%</f>
        <v>0.45</v>
      </c>
    </row>
    <row r="9">
      <c r="A9" s="7"/>
    </row>
    <row r="10">
      <c r="A10" s="1" t="s">
        <v>258</v>
      </c>
    </row>
    <row r="11">
      <c r="A11" s="7"/>
    </row>
    <row r="12">
      <c r="A12" s="2" t="s">
        <v>259</v>
      </c>
      <c r="B12" s="2" t="s">
        <v>260</v>
      </c>
      <c r="C12" s="2" t="s">
        <v>242</v>
      </c>
      <c r="D12" s="2" t="s">
        <v>252</v>
      </c>
    </row>
    <row r="13">
      <c r="A13" s="18">
        <v>0.1</v>
      </c>
      <c r="B13" s="14">
        <v>42.0</v>
      </c>
      <c r="C13" s="14" t="s">
        <v>261</v>
      </c>
      <c r="D13" s="16">
        <v>-0.64</v>
      </c>
    </row>
    <row r="14">
      <c r="A14" s="12" t="s">
        <v>262</v>
      </c>
      <c r="B14" s="14">
        <v>85.0</v>
      </c>
      <c r="C14" s="14" t="s">
        <v>244</v>
      </c>
      <c r="D14" s="16">
        <v>0.0</v>
      </c>
    </row>
    <row r="15">
      <c r="A15" s="18">
        <v>0.3</v>
      </c>
      <c r="B15" s="14">
        <v>128.0</v>
      </c>
      <c r="C15" s="14" t="s">
        <v>263</v>
      </c>
      <c r="D15" s="17">
        <f>+64%</f>
        <v>0.64</v>
      </c>
    </row>
    <row r="16">
      <c r="A16" s="7"/>
    </row>
    <row r="17">
      <c r="A17" s="1" t="s">
        <v>264</v>
      </c>
    </row>
    <row r="18">
      <c r="A18" s="7"/>
    </row>
    <row r="19">
      <c r="A19" s="2" t="s">
        <v>265</v>
      </c>
      <c r="B19" s="2" t="s">
        <v>242</v>
      </c>
      <c r="C19" s="2" t="s">
        <v>252</v>
      </c>
    </row>
    <row r="20">
      <c r="A20" s="12" t="s">
        <v>266</v>
      </c>
      <c r="B20" s="14" t="s">
        <v>267</v>
      </c>
      <c r="C20" s="17">
        <f>+19%</f>
        <v>0.19</v>
      </c>
    </row>
    <row r="21">
      <c r="A21" s="12" t="s">
        <v>268</v>
      </c>
      <c r="B21" s="14" t="s">
        <v>244</v>
      </c>
      <c r="C21" s="16">
        <v>0.0</v>
      </c>
    </row>
    <row r="22">
      <c r="A22" s="12" t="s">
        <v>269</v>
      </c>
      <c r="B22" s="14" t="s">
        <v>270</v>
      </c>
      <c r="C22" s="16">
        <v>-0.19</v>
      </c>
    </row>
    <row r="23">
      <c r="A23" s="7"/>
    </row>
    <row r="24">
      <c r="A24" s="1" t="s">
        <v>271</v>
      </c>
    </row>
    <row r="25">
      <c r="A25" s="7"/>
    </row>
    <row r="26">
      <c r="A26" s="2" t="s">
        <v>272</v>
      </c>
      <c r="B26" s="2" t="s">
        <v>273</v>
      </c>
      <c r="C26" s="2" t="s">
        <v>242</v>
      </c>
      <c r="D26" s="2" t="s">
        <v>252</v>
      </c>
    </row>
    <row r="27">
      <c r="A27" s="18">
        <v>0.6</v>
      </c>
      <c r="B27" s="14">
        <v>95.0</v>
      </c>
      <c r="C27" s="14" t="s">
        <v>274</v>
      </c>
      <c r="D27" s="16">
        <v>-0.56</v>
      </c>
    </row>
    <row r="28">
      <c r="A28" s="12" t="s">
        <v>275</v>
      </c>
      <c r="B28" s="14">
        <v>120.0</v>
      </c>
      <c r="C28" s="14" t="s">
        <v>244</v>
      </c>
      <c r="D28" s="16">
        <v>0.0</v>
      </c>
    </row>
    <row r="29">
      <c r="A29" s="18">
        <v>0.9</v>
      </c>
      <c r="B29" s="14">
        <v>135.0</v>
      </c>
      <c r="C29" s="14" t="s">
        <v>276</v>
      </c>
      <c r="D29" s="17">
        <f>+27%</f>
        <v>0.27</v>
      </c>
    </row>
    <row r="30">
      <c r="A30" s="1"/>
    </row>
    <row r="31">
      <c r="A31" s="1" t="s">
        <v>277</v>
      </c>
    </row>
    <row r="32">
      <c r="A32" s="7"/>
    </row>
    <row r="33">
      <c r="A33" s="1" t="s">
        <v>278</v>
      </c>
    </row>
    <row r="34">
      <c r="A34" s="7"/>
    </row>
    <row r="35">
      <c r="A35" s="11"/>
      <c r="B35" s="2" t="s">
        <v>279</v>
      </c>
      <c r="C35" s="2" t="s">
        <v>280</v>
      </c>
      <c r="D35" s="2" t="s">
        <v>281</v>
      </c>
    </row>
    <row r="36">
      <c r="A36" s="12" t="s">
        <v>282</v>
      </c>
      <c r="B36" s="14" t="s">
        <v>283</v>
      </c>
      <c r="C36" s="14" t="s">
        <v>254</v>
      </c>
      <c r="D36" s="14" t="s">
        <v>284</v>
      </c>
    </row>
    <row r="37">
      <c r="A37" s="12" t="s">
        <v>285</v>
      </c>
      <c r="B37" s="14" t="s">
        <v>261</v>
      </c>
      <c r="C37" s="14" t="s">
        <v>244</v>
      </c>
      <c r="D37" s="14" t="s">
        <v>263</v>
      </c>
    </row>
    <row r="38">
      <c r="A38" s="12" t="s">
        <v>286</v>
      </c>
      <c r="B38" s="14" t="s">
        <v>287</v>
      </c>
      <c r="C38" s="14" t="s">
        <v>257</v>
      </c>
      <c r="D38" s="14" t="s">
        <v>288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5.13"/>
    <col customWidth="1" min="2" max="2" width="34.88"/>
  </cols>
  <sheetData>
    <row r="1">
      <c r="A1" s="1" t="s">
        <v>289</v>
      </c>
    </row>
    <row r="2">
      <c r="A2" s="7"/>
    </row>
    <row r="3">
      <c r="A3" s="1" t="s">
        <v>290</v>
      </c>
    </row>
    <row r="4">
      <c r="A4" s="7"/>
    </row>
    <row r="5">
      <c r="A5" s="8" t="s">
        <v>291</v>
      </c>
    </row>
    <row r="6">
      <c r="A6" s="8" t="s">
        <v>292</v>
      </c>
    </row>
    <row r="7">
      <c r="A7" s="8" t="s">
        <v>293</v>
      </c>
    </row>
    <row r="8">
      <c r="A8" s="8" t="s">
        <v>294</v>
      </c>
    </row>
    <row r="9">
      <c r="A9" s="8" t="s">
        <v>295</v>
      </c>
    </row>
    <row r="10">
      <c r="A10" s="7"/>
    </row>
    <row r="11">
      <c r="A11" s="1" t="s">
        <v>296</v>
      </c>
    </row>
    <row r="12">
      <c r="A12" s="7"/>
    </row>
    <row r="13">
      <c r="A13" s="8" t="s">
        <v>297</v>
      </c>
    </row>
    <row r="14">
      <c r="A14" s="13"/>
    </row>
    <row r="15">
      <c r="A15" s="8" t="s">
        <v>298</v>
      </c>
    </row>
    <row r="16">
      <c r="A16" s="8" t="s">
        <v>299</v>
      </c>
    </row>
    <row r="17">
      <c r="A17" s="8" t="s">
        <v>300</v>
      </c>
    </row>
    <row r="18">
      <c r="A18" s="13"/>
    </row>
    <row r="19">
      <c r="A19" s="8" t="s">
        <v>301</v>
      </c>
    </row>
    <row r="20">
      <c r="A20" s="13"/>
    </row>
    <row r="21">
      <c r="A21" s="8" t="s">
        <v>302</v>
      </c>
    </row>
    <row r="22">
      <c r="A22" s="8" t="s">
        <v>303</v>
      </c>
    </row>
    <row r="23">
      <c r="A23" s="8" t="s">
        <v>304</v>
      </c>
    </row>
    <row r="24">
      <c r="A24" s="13"/>
    </row>
    <row r="25">
      <c r="A25" s="8" t="s">
        <v>305</v>
      </c>
    </row>
    <row r="26">
      <c r="A26" s="7"/>
    </row>
    <row r="27">
      <c r="A27" s="1" t="s">
        <v>306</v>
      </c>
    </row>
    <row r="28">
      <c r="A28" s="2" t="s">
        <v>1</v>
      </c>
      <c r="B28" s="2" t="s">
        <v>307</v>
      </c>
    </row>
    <row r="29">
      <c r="A29" s="5" t="s">
        <v>218</v>
      </c>
      <c r="B29" s="6"/>
    </row>
    <row r="30">
      <c r="A30" s="3" t="s">
        <v>308</v>
      </c>
      <c r="B30" s="3" t="s">
        <v>309</v>
      </c>
    </row>
    <row r="31">
      <c r="A31" s="3" t="s">
        <v>310</v>
      </c>
      <c r="B31" s="3" t="s">
        <v>311</v>
      </c>
    </row>
    <row r="32">
      <c r="A32" s="5" t="s">
        <v>312</v>
      </c>
      <c r="B32" s="5" t="s">
        <v>313</v>
      </c>
    </row>
    <row r="33">
      <c r="A33" s="6"/>
      <c r="B33" s="6"/>
    </row>
    <row r="34">
      <c r="A34" s="5" t="s">
        <v>314</v>
      </c>
      <c r="B34" s="6"/>
    </row>
    <row r="35">
      <c r="A35" s="3" t="s">
        <v>315</v>
      </c>
      <c r="B35" s="3" t="s">
        <v>102</v>
      </c>
    </row>
    <row r="36">
      <c r="A36" s="3" t="s">
        <v>316</v>
      </c>
      <c r="B36" s="3" t="s">
        <v>317</v>
      </c>
    </row>
    <row r="37">
      <c r="A37" s="3" t="s">
        <v>318</v>
      </c>
      <c r="B37" s="3" t="s">
        <v>319</v>
      </c>
    </row>
    <row r="38">
      <c r="A38" s="5" t="s">
        <v>320</v>
      </c>
      <c r="B38" s="5" t="s">
        <v>321</v>
      </c>
    </row>
    <row r="39">
      <c r="A39" s="6"/>
      <c r="B39" s="6"/>
    </row>
    <row r="40">
      <c r="A40" s="5" t="s">
        <v>322</v>
      </c>
      <c r="B40" s="6"/>
    </row>
    <row r="41">
      <c r="A41" s="3" t="s">
        <v>323</v>
      </c>
      <c r="B41" s="3" t="s">
        <v>324</v>
      </c>
    </row>
    <row r="42">
      <c r="A42" s="6"/>
      <c r="B42" s="6"/>
    </row>
    <row r="43">
      <c r="A43" s="5" t="s">
        <v>325</v>
      </c>
      <c r="B43" s="6"/>
    </row>
    <row r="44">
      <c r="A44" s="3" t="s">
        <v>326</v>
      </c>
      <c r="B44" s="3" t="s">
        <v>327</v>
      </c>
    </row>
    <row r="45">
      <c r="A45" s="6"/>
      <c r="B45" s="6"/>
    </row>
    <row r="46">
      <c r="A46" s="5" t="s">
        <v>328</v>
      </c>
      <c r="B46" s="5" t="s">
        <v>329</v>
      </c>
    </row>
    <row r="47">
      <c r="A47" s="5" t="s">
        <v>330</v>
      </c>
      <c r="B47" s="5" t="s">
        <v>331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0.25"/>
    <col customWidth="1" min="2" max="2" width="16.88"/>
    <col customWidth="1" min="3" max="3" width="22.63"/>
    <col customWidth="1" min="4" max="4" width="56.38"/>
  </cols>
  <sheetData>
    <row r="1">
      <c r="A1" s="1" t="s">
        <v>332</v>
      </c>
    </row>
    <row r="2">
      <c r="A2" s="7"/>
    </row>
    <row r="3">
      <c r="A3" s="1" t="s">
        <v>333</v>
      </c>
    </row>
    <row r="4">
      <c r="A4" s="7"/>
    </row>
    <row r="5">
      <c r="A5" s="1" t="s">
        <v>334</v>
      </c>
    </row>
    <row r="6">
      <c r="A6" s="8" t="s">
        <v>335</v>
      </c>
    </row>
    <row r="7">
      <c r="A7" s="8" t="s">
        <v>336</v>
      </c>
    </row>
    <row r="8">
      <c r="A8" s="8" t="s">
        <v>337</v>
      </c>
    </row>
    <row r="9">
      <c r="A9" s="1" t="s">
        <v>338</v>
      </c>
    </row>
    <row r="10">
      <c r="A10" s="8" t="s">
        <v>339</v>
      </c>
    </row>
    <row r="11">
      <c r="A11" s="8" t="s">
        <v>340</v>
      </c>
    </row>
    <row r="12">
      <c r="A12" s="8" t="s">
        <v>341</v>
      </c>
    </row>
    <row r="13">
      <c r="A13" s="1" t="s">
        <v>342</v>
      </c>
    </row>
    <row r="14">
      <c r="A14" s="8" t="s">
        <v>343</v>
      </c>
    </row>
    <row r="15">
      <c r="A15" s="8" t="s">
        <v>344</v>
      </c>
    </row>
    <row r="16">
      <c r="A16" s="8" t="s">
        <v>345</v>
      </c>
    </row>
    <row r="17">
      <c r="A17" s="1" t="s">
        <v>346</v>
      </c>
    </row>
    <row r="18">
      <c r="A18" s="8" t="s">
        <v>347</v>
      </c>
    </row>
    <row r="19">
      <c r="A19" s="8" t="s">
        <v>348</v>
      </c>
    </row>
    <row r="20">
      <c r="A20" s="8" t="s">
        <v>349</v>
      </c>
    </row>
    <row r="21">
      <c r="A21" s="8"/>
    </row>
    <row r="22">
      <c r="A22" s="1" t="s">
        <v>350</v>
      </c>
    </row>
    <row r="23">
      <c r="A23" s="2" t="s">
        <v>351</v>
      </c>
      <c r="B23" s="2" t="s">
        <v>352</v>
      </c>
      <c r="C23" s="2" t="s">
        <v>353</v>
      </c>
      <c r="D23" s="2" t="s">
        <v>354</v>
      </c>
    </row>
    <row r="24">
      <c r="A24" s="3" t="s">
        <v>355</v>
      </c>
      <c r="B24" s="12" t="s">
        <v>356</v>
      </c>
      <c r="C24" s="12" t="s">
        <v>357</v>
      </c>
      <c r="D24" s="3" t="s">
        <v>358</v>
      </c>
    </row>
    <row r="25">
      <c r="A25" s="3" t="s">
        <v>359</v>
      </c>
      <c r="B25" s="12" t="s">
        <v>356</v>
      </c>
      <c r="C25" s="12" t="s">
        <v>360</v>
      </c>
      <c r="D25" s="3" t="s">
        <v>361</v>
      </c>
    </row>
    <row r="26">
      <c r="A26" s="3" t="s">
        <v>362</v>
      </c>
      <c r="B26" s="12" t="s">
        <v>363</v>
      </c>
      <c r="C26" s="12" t="s">
        <v>360</v>
      </c>
      <c r="D26" s="3" t="s">
        <v>364</v>
      </c>
    </row>
    <row r="27">
      <c r="A27" s="3" t="s">
        <v>365</v>
      </c>
      <c r="B27" s="12" t="s">
        <v>366</v>
      </c>
      <c r="C27" s="12" t="s">
        <v>367</v>
      </c>
      <c r="D27" s="3" t="s">
        <v>368</v>
      </c>
    </row>
    <row r="28">
      <c r="A28" s="1"/>
    </row>
    <row r="29">
      <c r="A29" s="1" t="s">
        <v>369</v>
      </c>
    </row>
    <row r="30">
      <c r="A30" s="7"/>
    </row>
    <row r="31">
      <c r="A31" s="1" t="s">
        <v>370</v>
      </c>
    </row>
    <row r="32">
      <c r="A32" s="7"/>
    </row>
    <row r="33">
      <c r="A33" s="8" t="s">
        <v>371</v>
      </c>
    </row>
    <row r="34">
      <c r="A34" s="8" t="s">
        <v>372</v>
      </c>
    </row>
    <row r="35">
      <c r="A35" s="8" t="s">
        <v>373</v>
      </c>
    </row>
    <row r="36">
      <c r="A36" s="7"/>
    </row>
    <row r="37">
      <c r="A37" s="1" t="s">
        <v>374</v>
      </c>
    </row>
    <row r="38">
      <c r="A38" s="7"/>
    </row>
    <row r="39">
      <c r="A39" s="8" t="s">
        <v>375</v>
      </c>
    </row>
    <row r="40">
      <c r="A40" s="8" t="s">
        <v>376</v>
      </c>
    </row>
    <row r="41">
      <c r="A41" s="8" t="s">
        <v>377</v>
      </c>
    </row>
    <row r="42">
      <c r="A42" s="7"/>
    </row>
    <row r="43">
      <c r="A43" s="1" t="s">
        <v>378</v>
      </c>
    </row>
    <row r="44">
      <c r="A44" s="7"/>
    </row>
    <row r="45">
      <c r="A45" s="8" t="s">
        <v>379</v>
      </c>
    </row>
    <row r="46">
      <c r="A46" s="8" t="s">
        <v>380</v>
      </c>
    </row>
    <row r="47">
      <c r="A47" s="8" t="s">
        <v>381</v>
      </c>
    </row>
    <row r="48">
      <c r="A48" s="1"/>
    </row>
    <row r="49">
      <c r="A49" s="1" t="s">
        <v>382</v>
      </c>
    </row>
    <row r="50">
      <c r="A50" s="2" t="s">
        <v>383</v>
      </c>
      <c r="B50" s="2" t="s">
        <v>384</v>
      </c>
      <c r="C50" s="2" t="s">
        <v>385</v>
      </c>
    </row>
    <row r="51">
      <c r="A51" s="3" t="s">
        <v>386</v>
      </c>
      <c r="B51" s="12" t="s">
        <v>309</v>
      </c>
      <c r="C51" s="12" t="s">
        <v>387</v>
      </c>
    </row>
    <row r="52">
      <c r="A52" s="3" t="s">
        <v>388</v>
      </c>
      <c r="B52" s="12">
        <v>37.0</v>
      </c>
      <c r="C52" s="12">
        <v>85.0</v>
      </c>
    </row>
    <row r="53">
      <c r="A53" s="3" t="s">
        <v>389</v>
      </c>
      <c r="B53" s="12" t="s">
        <v>390</v>
      </c>
      <c r="C53" s="12" t="s">
        <v>391</v>
      </c>
    </row>
    <row r="54">
      <c r="A54" s="3" t="s">
        <v>392</v>
      </c>
      <c r="B54" s="12" t="s">
        <v>393</v>
      </c>
      <c r="C54" s="12" t="s">
        <v>394</v>
      </c>
    </row>
    <row r="55">
      <c r="A55" s="3" t="s">
        <v>395</v>
      </c>
      <c r="B55" s="12" t="s">
        <v>396</v>
      </c>
      <c r="C55" s="12" t="s">
        <v>397</v>
      </c>
    </row>
    <row r="56">
      <c r="A56" s="3" t="s">
        <v>398</v>
      </c>
      <c r="B56" s="12" t="s">
        <v>399</v>
      </c>
      <c r="C56" s="12" t="s">
        <v>400</v>
      </c>
    </row>
    <row r="57">
      <c r="A57" s="3" t="s">
        <v>401</v>
      </c>
      <c r="B57" s="12" t="s">
        <v>402</v>
      </c>
      <c r="C57" s="12" t="s">
        <v>403</v>
      </c>
    </row>
    <row r="58">
      <c r="A58" s="1"/>
    </row>
    <row r="59">
      <c r="A59" s="1" t="s">
        <v>404</v>
      </c>
    </row>
    <row r="60">
      <c r="A60" s="7"/>
    </row>
    <row r="61">
      <c r="A61" s="1" t="s">
        <v>405</v>
      </c>
    </row>
    <row r="62">
      <c r="A62" s="7"/>
    </row>
    <row r="63">
      <c r="A63" s="8" t="s">
        <v>406</v>
      </c>
    </row>
    <row r="64">
      <c r="A64" s="8" t="s">
        <v>407</v>
      </c>
    </row>
    <row r="65">
      <c r="A65" s="8" t="s">
        <v>408</v>
      </c>
    </row>
    <row r="66">
      <c r="A66" s="7"/>
    </row>
    <row r="67">
      <c r="A67" s="1" t="s">
        <v>409</v>
      </c>
    </row>
    <row r="68">
      <c r="A68" s="7"/>
    </row>
    <row r="69">
      <c r="A69" s="8" t="s">
        <v>410</v>
      </c>
    </row>
    <row r="70">
      <c r="A70" s="8" t="s">
        <v>411</v>
      </c>
    </row>
    <row r="71">
      <c r="A71" s="8" t="s">
        <v>412</v>
      </c>
    </row>
    <row r="72">
      <c r="A72" s="7"/>
    </row>
    <row r="73">
      <c r="A73" s="1" t="s">
        <v>413</v>
      </c>
    </row>
    <row r="74">
      <c r="A74" s="7"/>
    </row>
    <row r="75">
      <c r="A75" s="8" t="s">
        <v>414</v>
      </c>
    </row>
    <row r="76">
      <c r="A76" s="8" t="s">
        <v>415</v>
      </c>
    </row>
    <row r="77">
      <c r="A77" s="8" t="s">
        <v>416</v>
      </c>
    </row>
    <row r="78">
      <c r="A78" s="19"/>
    </row>
    <row r="79">
      <c r="A79" s="19" t="s">
        <v>417</v>
      </c>
    </row>
    <row r="80">
      <c r="A80" s="19"/>
    </row>
    <row r="81">
      <c r="A81" s="1" t="s">
        <v>418</v>
      </c>
    </row>
    <row r="82">
      <c r="A82" s="8" t="s">
        <v>419</v>
      </c>
    </row>
    <row r="83">
      <c r="A83" s="8" t="s">
        <v>420</v>
      </c>
    </row>
    <row r="84">
      <c r="A84" s="8" t="s">
        <v>421</v>
      </c>
    </row>
    <row r="85">
      <c r="A85" s="8" t="s">
        <v>422</v>
      </c>
    </row>
    <row r="86">
      <c r="A86" s="8" t="s">
        <v>423</v>
      </c>
    </row>
    <row r="87">
      <c r="A87" s="1" t="s">
        <v>424</v>
      </c>
    </row>
    <row r="88">
      <c r="A88" s="7"/>
    </row>
    <row r="89">
      <c r="A89" s="1" t="s">
        <v>425</v>
      </c>
    </row>
    <row r="90">
      <c r="A90" s="7"/>
    </row>
    <row r="91">
      <c r="A91" s="8" t="s">
        <v>426</v>
      </c>
    </row>
    <row r="92">
      <c r="A92" s="8" t="s">
        <v>427</v>
      </c>
    </row>
    <row r="93">
      <c r="A93" s="8" t="s">
        <v>428</v>
      </c>
    </row>
    <row r="94">
      <c r="A94" s="7"/>
    </row>
    <row r="95">
      <c r="A95" s="1" t="s">
        <v>429</v>
      </c>
    </row>
    <row r="96">
      <c r="A96" s="7"/>
    </row>
    <row r="97">
      <c r="A97" s="8" t="s">
        <v>430</v>
      </c>
    </row>
    <row r="98">
      <c r="A98" s="8" t="s">
        <v>431</v>
      </c>
    </row>
    <row r="99">
      <c r="A99" s="8" t="s">
        <v>432</v>
      </c>
    </row>
    <row r="100">
      <c r="A100" s="7"/>
    </row>
    <row r="101">
      <c r="A101" s="1" t="s">
        <v>433</v>
      </c>
    </row>
    <row r="102">
      <c r="A102" s="7"/>
    </row>
    <row r="103">
      <c r="A103" s="8" t="s">
        <v>434</v>
      </c>
    </row>
    <row r="104">
      <c r="A104" s="8" t="s">
        <v>435</v>
      </c>
    </row>
    <row r="105">
      <c r="A105" s="8" t="s">
        <v>436</v>
      </c>
    </row>
    <row r="106">
      <c r="A106" s="7"/>
    </row>
    <row r="107">
      <c r="A107" s="1" t="s">
        <v>437</v>
      </c>
    </row>
    <row r="108">
      <c r="A108" s="7"/>
    </row>
    <row r="109">
      <c r="A109" s="8" t="s">
        <v>438</v>
      </c>
    </row>
    <row r="110">
      <c r="A110" s="8" t="s">
        <v>439</v>
      </c>
    </row>
    <row r="111">
      <c r="A111" s="8" t="s">
        <v>440</v>
      </c>
    </row>
  </sheetData>
  <drawing r:id="rId1"/>
</worksheet>
</file>